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Actividades" sheetId="3" state="visible" r:id="rId3"/>
    <sheet xmlns:r="http://schemas.openxmlformats.org/officeDocument/2006/relationships" name="Quiz" sheetId="4" state="visible" r:id="rId4"/>
    <sheet xmlns:r="http://schemas.openxmlformats.org/officeDocument/2006/relationships" name="Evaluacion" sheetId="5" state="visible" r:id="rId5"/>
    <sheet xmlns:r="http://schemas.openxmlformats.org/officeDocument/2006/relationships" name="Solucionario" sheetId="6" state="visible" r:id="rId6"/>
    <sheet xmlns:r="http://schemas.openxmlformats.org/officeDocument/2006/relationships" name="Conciliacion" sheetId="7" state="visible" r:id="rId7"/>
    <sheet xmlns:r="http://schemas.openxmlformats.org/officeDocument/2006/relationships" name="Codigo_M" sheetId="8" state="visible" r:id="rId8"/>
    <sheet xmlns:r="http://schemas.openxmlformats.org/officeDocument/2006/relationships" name="Resumen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7365D"/>
    </font>
    <font>
      <b val="1"/>
      <color rgb="00FFFFFF"/>
    </font>
    <font>
      <color rgb="000000FF"/>
    </font>
    <font>
      <color rgb="00008000"/>
    </font>
    <font>
      <color rgb="00000000"/>
    </font>
    <font>
      <b val="1"/>
    </font>
    <font>
      <name val="Consolas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Inst8" displayName="TInst8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Datos8" displayName="TDatos8" ref="A4:L14" headerRowCount="1">
  <autoFilter ref="A4:L14"/>
  <tableColumns count="12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Activo"/>
    <tableColumn id="9" name="Responsable"/>
    <tableColumn id="10" name="Observacion"/>
    <tableColumn id="11" name="FactorConversion"/>
    <tableColumn id="12" name="CapacidadEmpaq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ct8" displayName="TAct8" ref="A4:D9" headerRowCount="1">
  <autoFilter ref="A4:D9"/>
  <tableColumns count="4">
    <tableColumn id="1" name="No."/>
    <tableColumn id="2" name="Actividad"/>
    <tableColumn id="3" name="Estado"/>
    <tableColumn id="4" name="Evidenci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Quiz8" displayName="TQuiz8" ref="A4:H9" headerRowCount="1">
  <autoFilter ref="A4:H9"/>
  <tableColumns count="8">
    <tableColumn id="1" name="No."/>
    <tableColumn id="2" name="Pregunta"/>
    <tableColumn id="3" name="Opción A"/>
    <tableColumn id="4" name="Opción B"/>
    <tableColumn id="5" name="Opción C"/>
    <tableColumn id="6" name="Respuesta"/>
    <tableColumn id="7" name="Correcta"/>
    <tableColumn id="8" name="Result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Eval8" displayName="TEval8" ref="A4:E9" headerRowCount="1">
  <autoFilter ref="A4:E9"/>
  <tableColumns count="5">
    <tableColumn id="1" name="Parte"/>
    <tableColumn id="2" name="Componente"/>
    <tableColumn id="3" name="Evidencia requerida"/>
    <tableColumn id="4" name="Ponderación"/>
    <tableColumn id="5" name="Calificació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Sol8" displayName="TSol8" ref="A4:D9" headerRowCount="1">
  <autoFilter ref="A4:D9"/>
  <tableColumns count="4">
    <tableColumn id="1" name="No."/>
    <tableColumn id="2" name="Pregunta"/>
    <tableColumn id="3" name="Respuesta"/>
    <tableColumn id="4" name="Retroalimenta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Conc8" displayName="TConc8" ref="A4:E11" headerRowCount="1">
  <autoFilter ref="A4:E11"/>
  <tableColumns count="5">
    <tableColumn id="1" name="Control"/>
    <tableColumn id="2" name="Esperado"/>
    <tableColumn id="3" name="Obtenido"/>
    <tableColumn id="4" name="Diferencia"/>
    <tableColumn id="5" name="Cumpl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Res8" displayName="TRes8" ref="A4:B10" headerRowCount="1">
  <autoFilter ref="A4:B10"/>
  <tableColumns count="2">
    <tableColumn id="1" name="Elemento"/>
    <tableColumn id="2" name="Síntesi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Check8" displayName="TCheck8" ref="A12:B19" headerRowCount="1">
  <autoFilter ref="A12:B19"/>
  <tableColumns count="2">
    <tableColumn id="1" name="Comprobación"/>
    <tableColumn id="2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table" Target="/xl/tables/table9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Módulo 9 | Lección 8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Registros: campos, contratos y transformación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Elemento</t>
        </is>
      </c>
      <c r="B4" s="4" t="inlineStr">
        <is>
          <t>Descripción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Programa</t>
        </is>
      </c>
      <c r="B5" s="2" t="inlineStr">
        <is>
          <t>Power Query para la Automatización y Preparación de Datos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Autor e instructor</t>
        </is>
      </c>
      <c r="B6" s="2" t="inlineStr">
        <is>
          <t>Sergio Moreno Banda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Objetivo</t>
        </is>
      </c>
      <c r="B7" s="2" t="inlineStr">
        <is>
          <t>Aplicar los contenidos de la lección mediante ejercicios, pruebas y conciliación.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Uso sugerido</t>
        </is>
      </c>
      <c r="B8" s="2" t="inlineStr">
        <is>
          <t>1) Revise Resumen. 2) Trabaje Datos_Practica. 3) Complete Actividades. 4) Responda Quiz y Evaluacion. 5) Compare con Solucionario.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Evidencia</t>
        </is>
      </c>
      <c r="B9" s="2" t="inlineStr">
        <is>
          <t>Libro completado y consulta M documentada.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Criterio de aprobación</t>
        </is>
      </c>
      <c r="B10" s="2" t="inlineStr">
        <is>
          <t>80% y diferencias de conciliación en cero.</t>
        </is>
      </c>
      <c r="C10" s="2" t="n"/>
      <c r="D10" s="2" t="n"/>
      <c r="E10" s="2" t="n"/>
      <c r="F10" s="2" t="n"/>
      <c r="G10" s="2" t="n"/>
      <c r="H10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16" customWidth="1" min="3" max="3"/>
    <col width="16" customWidth="1" min="4" max="4"/>
    <col width="13" customWidth="1" min="5" max="5"/>
    <col width="11" customWidth="1" min="6" max="6"/>
    <col width="11" customWidth="1" min="7" max="7"/>
    <col width="11" customWidth="1" min="8" max="8"/>
    <col width="13" customWidth="1" min="9" max="9"/>
    <col width="33" customWidth="1" min="10" max="10"/>
    <col width="18" customWidth="1" min="11" max="11"/>
    <col width="18" customWidth="1" min="12" max="12"/>
  </cols>
  <sheetData>
    <row r="1" ht="28" customHeight="1">
      <c r="A1" s="1" t="inlineStr">
        <is>
          <t>Datos de práctica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Lección 8: Registros: campos, contratos y transformación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4" t="inlineStr">
        <is>
          <t>Movimiento</t>
        </is>
      </c>
      <c r="B4" s="4" t="inlineStr">
        <is>
          <t>FechaMovimiento</t>
        </is>
      </c>
      <c r="C4" s="4" t="inlineStr">
        <is>
          <t>CodigoMaterial</t>
        </is>
      </c>
      <c r="D4" s="4" t="inlineStr">
        <is>
          <t>TipoMovimiento</t>
        </is>
      </c>
      <c r="E4" s="4" t="inlineStr">
        <is>
          <t>Cantidad</t>
        </is>
      </c>
      <c r="F4" s="4" t="inlineStr">
        <is>
          <t>Unidad</t>
        </is>
      </c>
      <c r="G4" s="4" t="inlineStr">
        <is>
          <t>Almacen</t>
        </is>
      </c>
      <c r="H4" s="4" t="inlineStr">
        <is>
          <t>Activo</t>
        </is>
      </c>
      <c r="I4" s="4" t="inlineStr">
        <is>
          <t>Responsable</t>
        </is>
      </c>
      <c r="J4" s="4" t="inlineStr">
        <is>
          <t>Observacion</t>
        </is>
      </c>
      <c r="K4" s="4" t="inlineStr">
        <is>
          <t>FactorConversion</t>
        </is>
      </c>
      <c r="L4" s="4" t="inlineStr">
        <is>
          <t>CapacidadEmpaque</t>
        </is>
      </c>
    </row>
    <row r="5">
      <c r="A5" s="2" t="inlineStr">
        <is>
          <t>MOV-001</t>
        </is>
      </c>
      <c r="B5" s="2" t="inlineStr">
        <is>
          <t>20/08/2026</t>
        </is>
      </c>
      <c r="C5" s="2" t="inlineStr">
        <is>
          <t>00125</t>
        </is>
      </c>
      <c r="D5" s="2" t="inlineStr">
        <is>
          <t>ENT</t>
        </is>
      </c>
      <c r="E5" s="2" t="inlineStr">
        <is>
          <t>25.5</t>
        </is>
      </c>
      <c r="F5" s="2" t="inlineStr">
        <is>
          <t>PZA</t>
        </is>
      </c>
      <c r="G5" s="2" t="inlineStr">
        <is>
          <t>A01</t>
        </is>
      </c>
      <c r="H5" s="2" t="inlineStr">
        <is>
          <t>SI</t>
        </is>
      </c>
      <c r="I5" s="2" t="inlineStr">
        <is>
          <t>R-001</t>
        </is>
      </c>
      <c r="J5" s="2" t="inlineStr">
        <is>
          <t>Entrada normal</t>
        </is>
      </c>
      <c r="K5" s="2" t="n">
        <v>1</v>
      </c>
      <c r="L5" s="2" t="n">
        <v>12</v>
      </c>
    </row>
    <row r="6">
      <c r="A6" s="2" t="inlineStr">
        <is>
          <t xml:space="preserve"> mov-002 </t>
        </is>
      </c>
      <c r="B6" s="2" t="inlineStr">
        <is>
          <t>30/08/2026</t>
        </is>
      </c>
      <c r="C6" s="2" t="inlineStr">
        <is>
          <t>00126</t>
        </is>
      </c>
      <c r="D6" s="2" t="inlineStr">
        <is>
          <t>SALIDA</t>
        </is>
      </c>
      <c r="E6" s="2" t="inlineStr">
        <is>
          <t>0</t>
        </is>
      </c>
      <c r="F6" s="2" t="inlineStr">
        <is>
          <t>kg</t>
        </is>
      </c>
      <c r="G6" s="2" t="inlineStr">
        <is>
          <t>a02</t>
        </is>
      </c>
      <c r="H6" s="2" t="inlineStr">
        <is>
          <t>TRUE</t>
        </is>
      </c>
      <c r="I6" s="2" t="inlineStr">
        <is>
          <t>R-002</t>
        </is>
      </c>
      <c r="J6" s="2" t="inlineStr">
        <is>
          <t>Cantidad cero</t>
        </is>
      </c>
      <c r="K6" s="2" t="n">
        <v>1.5</v>
      </c>
      <c r="L6" s="2" t="n">
        <v>10</v>
      </c>
    </row>
    <row r="7">
      <c r="A7" s="2" t="n"/>
      <c r="B7" s="2" t="inlineStr">
        <is>
          <t>15/08/2026</t>
        </is>
      </c>
      <c r="C7" s="2" t="inlineStr">
        <is>
          <t>00127</t>
        </is>
      </c>
      <c r="D7" s="2" t="inlineStr">
        <is>
          <t>TRA</t>
        </is>
      </c>
      <c r="E7" s="2" t="inlineStr">
        <is>
          <t>-5</t>
        </is>
      </c>
      <c r="F7" s="2" t="inlineStr">
        <is>
          <t>LT</t>
        </is>
      </c>
      <c r="G7" s="2" t="inlineStr">
        <is>
          <t>A03</t>
        </is>
      </c>
      <c r="H7" s="2" t="inlineStr">
        <is>
          <t>ACTIVO</t>
        </is>
      </c>
      <c r="I7" s="2" t="inlineStr">
        <is>
          <t>R-003</t>
        </is>
      </c>
      <c r="J7" s="2" t="inlineStr">
        <is>
          <t>Movimiento ausente</t>
        </is>
      </c>
      <c r="K7" s="2" t="n">
        <v>1</v>
      </c>
      <c r="L7" s="2" t="n">
        <v>8</v>
      </c>
    </row>
    <row r="8">
      <c r="A8" s="2" t="inlineStr">
        <is>
          <t>MOV-004</t>
        </is>
      </c>
      <c r="B8" s="2" t="inlineStr">
        <is>
          <t>31/02/2026</t>
        </is>
      </c>
      <c r="C8" s="2" t="inlineStr">
        <is>
          <t>00125</t>
        </is>
      </c>
      <c r="D8" s="2" t="inlineStr">
        <is>
          <t>ENTRADA</t>
        </is>
      </c>
      <c r="E8" s="2" t="inlineStr">
        <is>
          <t>PENDIENTE</t>
        </is>
      </c>
      <c r="F8" s="2" t="inlineStr">
        <is>
          <t>PZA</t>
        </is>
      </c>
      <c r="G8" s="2" t="inlineStr">
        <is>
          <t>A01</t>
        </is>
      </c>
      <c r="H8" s="2" t="inlineStr">
        <is>
          <t>NO</t>
        </is>
      </c>
      <c r="I8" s="2" t="inlineStr">
        <is>
          <t>R-004</t>
        </is>
      </c>
      <c r="J8" s="2" t="inlineStr">
        <is>
          <t>Fecha y cantidad inválidas</t>
        </is>
      </c>
      <c r="K8" s="2" t="n">
        <v>1</v>
      </c>
      <c r="L8" s="2" t="n">
        <v>12</v>
      </c>
    </row>
    <row r="9">
      <c r="A9" s="2" t="inlineStr">
        <is>
          <t>MOV-005</t>
        </is>
      </c>
      <c r="B9" s="2" t="inlineStr">
        <is>
          <t>31/12/2025</t>
        </is>
      </c>
      <c r="C9" s="2" t="inlineStr">
        <is>
          <t>00999</t>
        </is>
      </c>
      <c r="D9" s="2" t="inlineStr">
        <is>
          <t>SAL</t>
        </is>
      </c>
      <c r="E9" s="2" t="inlineStr">
        <is>
          <t>1000000.001</t>
        </is>
      </c>
      <c r="F9" s="2" t="inlineStr">
        <is>
          <t>PZA</t>
        </is>
      </c>
      <c r="G9" s="2" t="inlineStr">
        <is>
          <t>A99</t>
        </is>
      </c>
      <c r="H9" s="2" t="inlineStr">
        <is>
          <t>SI</t>
        </is>
      </c>
      <c r="I9" s="2" t="n"/>
      <c r="J9" s="2" t="inlineStr">
        <is>
          <t>Fuera de periodo y sin catálogo</t>
        </is>
      </c>
      <c r="K9" s="2" t="n">
        <v>1</v>
      </c>
      <c r="L9" s="2" t="n">
        <v>20</v>
      </c>
    </row>
    <row r="10">
      <c r="A10" s="2" t="inlineStr">
        <is>
          <t>MOV-006</t>
        </is>
      </c>
      <c r="B10" s="2" t="inlineStr">
        <is>
          <t>31/08/2026</t>
        </is>
      </c>
      <c r="C10" s="2" t="inlineStr">
        <is>
          <t>00128</t>
        </is>
      </c>
      <c r="D10" s="2" t="inlineStr">
        <is>
          <t>TRANSFERENCIA</t>
        </is>
      </c>
      <c r="E10" s="2" t="inlineStr">
        <is>
          <t>100</t>
        </is>
      </c>
      <c r="F10" s="2" t="inlineStr">
        <is>
          <t>CJ</t>
        </is>
      </c>
      <c r="G10" s="2" t="inlineStr">
        <is>
          <t>A02</t>
        </is>
      </c>
      <c r="H10" s="2" t="inlineStr">
        <is>
          <t>1</t>
        </is>
      </c>
      <c r="I10" s="2" t="inlineStr">
        <is>
          <t>R-006</t>
        </is>
      </c>
      <c r="J10" s="2" t="inlineStr">
        <is>
          <t>Fecha futura</t>
        </is>
      </c>
      <c r="K10" s="2" t="n">
        <v>2</v>
      </c>
      <c r="L10" s="2" t="n">
        <v>25</v>
      </c>
    </row>
    <row r="11">
      <c r="A11" s="2" t="inlineStr">
        <is>
          <t>MOV-007</t>
        </is>
      </c>
      <c r="B11" s="2" t="n"/>
      <c r="C11" s="2" t="inlineStr">
        <is>
          <t>00125</t>
        </is>
      </c>
      <c r="D11" s="2" t="inlineStr">
        <is>
          <t>ENTRADA</t>
        </is>
      </c>
      <c r="E11" s="2" t="n"/>
      <c r="F11" s="2" t="inlineStr">
        <is>
          <t>PZA</t>
        </is>
      </c>
      <c r="G11" s="2" t="inlineStr">
        <is>
          <t>A01</t>
        </is>
      </c>
      <c r="H11" s="2" t="inlineStr">
        <is>
          <t>INACTIVO</t>
        </is>
      </c>
      <c r="I11" s="2" t="inlineStr">
        <is>
          <t>R-007</t>
        </is>
      </c>
      <c r="J11" s="2" t="inlineStr">
        <is>
          <t>Ausencias</t>
        </is>
      </c>
      <c r="K11" s="2" t="n">
        <v>1</v>
      </c>
      <c r="L11" s="2" t="n">
        <v>12</v>
      </c>
    </row>
    <row r="12">
      <c r="A12" s="2" t="inlineStr">
        <is>
          <t>MOV-008</t>
        </is>
      </c>
      <c r="B12" s="2" t="inlineStr">
        <is>
          <t>10/07/2026</t>
        </is>
      </c>
      <c r="C12" s="2" t="inlineStr">
        <is>
          <t>00129</t>
        </is>
      </c>
      <c r="D12" s="2" t="inlineStr">
        <is>
          <t>XYZ</t>
        </is>
      </c>
      <c r="E12" s="2" t="inlineStr">
        <is>
          <t>50</t>
        </is>
      </c>
      <c r="F12" s="2" t="inlineStr">
        <is>
          <t xml:space="preserve">   </t>
        </is>
      </c>
      <c r="G12" s="2" t="inlineStr">
        <is>
          <t>A03</t>
        </is>
      </c>
      <c r="H12" s="2" t="inlineStr">
        <is>
          <t>PENDIENTE</t>
        </is>
      </c>
      <c r="I12" s="2" t="inlineStr">
        <is>
          <t>R-008</t>
        </is>
      </c>
      <c r="J12" s="2" t="inlineStr">
        <is>
          <t>Tipo y activo no reconocidos</t>
        </is>
      </c>
      <c r="K12" s="2" t="n">
        <v>1</v>
      </c>
      <c r="L12" s="2" t="n">
        <v>10</v>
      </c>
    </row>
    <row r="13">
      <c r="A13" s="2" t="inlineStr">
        <is>
          <t>MOV-009</t>
        </is>
      </c>
      <c r="B13" s="2" t="inlineStr">
        <is>
          <t>12/06/2026</t>
        </is>
      </c>
      <c r="C13" s="2" t="inlineStr">
        <is>
          <t>00130</t>
        </is>
      </c>
      <c r="D13" s="2" t="inlineStr">
        <is>
          <t>ENT</t>
        </is>
      </c>
      <c r="E13" s="2" t="inlineStr">
        <is>
          <t>17</t>
        </is>
      </c>
      <c r="F13" s="2" t="inlineStr">
        <is>
          <t>PZA</t>
        </is>
      </c>
      <c r="G13" s="2" t="inlineStr">
        <is>
          <t>A01</t>
        </is>
      </c>
      <c r="H13" s="2" t="inlineStr">
        <is>
          <t>SI</t>
        </is>
      </c>
      <c r="I13" s="2" t="inlineStr">
        <is>
          <t>R-009</t>
        </is>
      </c>
      <c r="J13" s="2" t="inlineStr">
        <is>
          <t>Empaque con sobrante</t>
        </is>
      </c>
      <c r="K13" s="2" t="n">
        <v>1</v>
      </c>
      <c r="L13" s="2" t="n">
        <v>5</v>
      </c>
    </row>
    <row r="14">
      <c r="A14" s="2" t="inlineStr">
        <is>
          <t>MOV-010</t>
        </is>
      </c>
      <c r="B14" s="2" t="inlineStr">
        <is>
          <t>01/01/2026</t>
        </is>
      </c>
      <c r="C14" s="2" t="inlineStr">
        <is>
          <t>00125</t>
        </is>
      </c>
      <c r="D14" s="2" t="inlineStr">
        <is>
          <t>ENTRADA</t>
        </is>
      </c>
      <c r="E14" s="2" t="inlineStr">
        <is>
          <t>10</t>
        </is>
      </c>
      <c r="F14" s="2" t="inlineStr">
        <is>
          <t>PZA</t>
        </is>
      </c>
      <c r="G14" s="2" t="inlineStr">
        <is>
          <t>A01</t>
        </is>
      </c>
      <c r="H14" s="2" t="inlineStr">
        <is>
          <t>SI</t>
        </is>
      </c>
      <c r="I14" s="2" t="inlineStr">
        <is>
          <t>R-010</t>
        </is>
      </c>
      <c r="J14" s="2" t="inlineStr">
        <is>
          <t>Caso límite inicial</t>
        </is>
      </c>
      <c r="K14" s="2" t="n">
        <v>1</v>
      </c>
      <c r="L14" s="2" t="n">
        <v>12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Actividades prácticas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Registros: campos, contratos y transformación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Actividad</t>
        </is>
      </c>
      <c r="C4" s="4" t="inlineStr">
        <is>
          <t>Estado</t>
        </is>
      </c>
      <c r="D4" s="4" t="inlineStr">
        <is>
          <t>Evidencia</t>
        </is>
      </c>
      <c r="E4" s="2" t="n"/>
      <c r="F4" s="2" t="n"/>
      <c r="G4" s="2" t="n"/>
      <c r="H4" s="2" t="n"/>
    </row>
    <row r="5">
      <c r="A5" s="2" t="n">
        <v>1</v>
      </c>
      <c r="B5" s="2" t="inlineStr">
        <is>
          <t>Identificar y clasificar los valores de entrada.</t>
        </is>
      </c>
      <c r="C5" s="5" t="inlineStr">
        <is>
          <t>Pendiente</t>
        </is>
      </c>
      <c r="D5" s="2" t="inlineStr"/>
      <c r="E5" s="2" t="n"/>
      <c r="F5" s="2" t="n"/>
      <c r="G5" s="2" t="n"/>
      <c r="H5" s="2" t="n"/>
    </row>
    <row r="6">
      <c r="A6" s="2" t="n">
        <v>2</v>
      </c>
      <c r="B6" s="2" t="inlineStr">
        <is>
          <t>Construir una consulta M con conservación del valor original.</t>
        </is>
      </c>
      <c r="C6" s="5" t="inlineStr">
        <is>
          <t>Pendiente</t>
        </is>
      </c>
      <c r="D6" s="2" t="inlineStr"/>
      <c r="E6" s="2" t="n"/>
      <c r="F6" s="2" t="n"/>
      <c r="G6" s="2" t="n"/>
      <c r="H6" s="2" t="n"/>
    </row>
    <row r="7">
      <c r="A7" s="2" t="n">
        <v>3</v>
      </c>
      <c r="B7" s="2" t="inlineStr">
        <is>
          <t>Agregar indicadores de validez, estado y trazabilidad.</t>
        </is>
      </c>
      <c r="C7" s="5" t="inlineStr">
        <is>
          <t>Pendiente</t>
        </is>
      </c>
      <c r="D7" s="2" t="inlineStr"/>
      <c r="E7" s="2" t="n"/>
      <c r="F7" s="2" t="n"/>
      <c r="G7" s="2" t="n"/>
      <c r="H7" s="2" t="n"/>
    </row>
    <row r="8">
      <c r="A8" s="2" t="n">
        <v>4</v>
      </c>
      <c r="B8" s="2" t="inlineStr">
        <is>
          <t>Ejecutar casos positivos, negativos y de frontera.</t>
        </is>
      </c>
      <c r="C8" s="5" t="inlineStr">
        <is>
          <t>Pendiente</t>
        </is>
      </c>
      <c r="D8" s="2" t="inlineStr"/>
      <c r="E8" s="2" t="n"/>
      <c r="F8" s="2" t="n"/>
      <c r="G8" s="2" t="n"/>
      <c r="H8" s="2" t="n"/>
    </row>
    <row r="9">
      <c r="A9" s="2" t="n">
        <v>5</v>
      </c>
      <c r="B9" s="2" t="inlineStr">
        <is>
          <t>Conciliar resultados y documentar cualquier diferencia.</t>
        </is>
      </c>
      <c r="C9" s="5" t="inlineStr">
        <is>
          <t>Pendiente</t>
        </is>
      </c>
      <c r="D9" s="2" t="inlineStr"/>
      <c r="E9" s="2" t="n"/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21" customWidth="1" min="3" max="3"/>
    <col width="11" customWidth="1" min="4" max="4"/>
    <col width="17" customWidth="1" min="5" max="5"/>
    <col width="11" customWidth="1" min="6" max="6"/>
    <col width="21" customWidth="1" min="7" max="7"/>
    <col width="33" customWidth="1" min="8" max="8"/>
  </cols>
  <sheetData>
    <row r="1" ht="28" customHeight="1">
      <c r="A1" s="1" t="inlineStr">
        <is>
          <t>Quiz formativo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Registros: campos, contratos y transformación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Pregunta</t>
        </is>
      </c>
      <c r="C4" s="4" t="inlineStr">
        <is>
          <t>Opción A</t>
        </is>
      </c>
      <c r="D4" s="4" t="inlineStr">
        <is>
          <t>Opción B</t>
        </is>
      </c>
      <c r="E4" s="4" t="inlineStr">
        <is>
          <t>Opción C</t>
        </is>
      </c>
      <c r="F4" s="4" t="inlineStr">
        <is>
          <t>Respuesta</t>
        </is>
      </c>
      <c r="G4" s="4" t="inlineStr">
        <is>
          <t>Correcta</t>
        </is>
      </c>
      <c r="H4" s="4" t="inlineStr">
        <is>
          <t>Resultado</t>
        </is>
      </c>
    </row>
    <row r="5">
      <c r="A5" s="2" t="n">
        <v>1</v>
      </c>
      <c r="B5" s="2" t="inlineStr">
        <is>
          <t>¿Qué comprueba Record.HasFields?</t>
        </is>
      </c>
      <c r="C5" s="2" t="inlineStr">
        <is>
          <t>Presencia de campos</t>
        </is>
      </c>
      <c r="D5" s="2" t="inlineStr">
        <is>
          <t>Tipos</t>
        </is>
      </c>
      <c r="E5" s="2" t="inlineStr">
        <is>
          <t>Filas</t>
        </is>
      </c>
      <c r="F5" s="5" t="inlineStr"/>
      <c r="G5" s="6" t="inlineStr">
        <is>
          <t>Presencia de campos</t>
        </is>
      </c>
      <c r="H5" s="7">
        <f>IF(F5=G5,"Correcta","Revisar")</f>
        <v/>
      </c>
    </row>
    <row r="6">
      <c r="A6" s="2" t="n">
        <v>2</v>
      </c>
      <c r="B6" s="2" t="inlineStr">
        <is>
          <t>¿Cómo se delimita un registro?</t>
        </is>
      </c>
      <c r="C6" s="2" t="inlineStr">
        <is>
          <t>Corchetes</t>
        </is>
      </c>
      <c r="D6" s="2" t="inlineStr">
        <is>
          <t>Llaves</t>
        </is>
      </c>
      <c r="E6" s="2" t="inlineStr">
        <is>
          <t>Paréntesis</t>
        </is>
      </c>
      <c r="F6" s="5" t="inlineStr"/>
      <c r="G6" s="6" t="inlineStr">
        <is>
          <t>Corchetes</t>
        </is>
      </c>
      <c r="H6" s="7">
        <f>IF(F6=G6,"Correcta","Revisar")</f>
        <v/>
      </c>
    </row>
    <row r="7">
      <c r="A7" s="2" t="n">
        <v>3</v>
      </c>
      <c r="B7" s="2" t="inlineStr">
        <is>
          <t>¿Debe conservarse el valor original?</t>
        </is>
      </c>
      <c r="C7" s="2" t="inlineStr">
        <is>
          <t>Sí</t>
        </is>
      </c>
      <c r="D7" s="2" t="inlineStr">
        <is>
          <t>No</t>
        </is>
      </c>
      <c r="E7" s="2" t="inlineStr">
        <is>
          <t>Solo en errores</t>
        </is>
      </c>
      <c r="F7" s="5" t="inlineStr"/>
      <c r="G7" s="6" t="inlineStr">
        <is>
          <t>Sí</t>
        </is>
      </c>
      <c r="H7" s="7">
        <f>IF(F7=G7,"Correcta","Revisar")</f>
        <v/>
      </c>
    </row>
    <row r="8">
      <c r="A8" s="2" t="n">
        <v>4</v>
      </c>
      <c r="B8" s="2" t="inlineStr">
        <is>
          <t>¿Qué resultado se exige en conciliación?</t>
        </is>
      </c>
      <c r="C8" s="2" t="inlineStr">
        <is>
          <t>Diferencia cero</t>
        </is>
      </c>
      <c r="D8" s="2" t="inlineStr">
        <is>
          <t>Una fila</t>
        </is>
      </c>
      <c r="E8" s="2" t="inlineStr">
        <is>
          <t>Sin tipos</t>
        </is>
      </c>
      <c r="F8" s="5" t="inlineStr"/>
      <c r="G8" s="6" t="inlineStr">
        <is>
          <t>Diferencia cero</t>
        </is>
      </c>
      <c r="H8" s="7">
        <f>IF(F8=G8,"Correcta","Revisar")</f>
        <v/>
      </c>
    </row>
    <row r="9">
      <c r="A9" s="2" t="n">
        <v>5</v>
      </c>
      <c r="B9" s="2" t="inlineStr">
        <is>
          <t>¿Las reglas deben probarse en límites?</t>
        </is>
      </c>
      <c r="C9" s="2" t="inlineStr">
        <is>
          <t>Sí</t>
        </is>
      </c>
      <c r="D9" s="2" t="inlineStr">
        <is>
          <t>No</t>
        </is>
      </c>
      <c r="E9" s="2" t="inlineStr">
        <is>
          <t>Solo fechas</t>
        </is>
      </c>
      <c r="F9" s="5" t="inlineStr"/>
      <c r="G9" s="6" t="inlineStr">
        <is>
          <t>Sí</t>
        </is>
      </c>
      <c r="H9" s="7">
        <f>IF(F9=G9,"Correcta","Revisar")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42" customWidth="1" min="3" max="3"/>
    <col width="20" customWidth="1" min="4" max="4"/>
    <col width="42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Evaluación de cierre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Registros: campos, contratos y transformación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Parte</t>
        </is>
      </c>
      <c r="B4" s="4" t="inlineStr">
        <is>
          <t>Componente</t>
        </is>
      </c>
      <c r="C4" s="4" t="inlineStr">
        <is>
          <t>Evidencia requerida</t>
        </is>
      </c>
      <c r="D4" s="4" t="inlineStr">
        <is>
          <t>Ponderación</t>
        </is>
      </c>
      <c r="E4" s="4" t="inlineStr">
        <is>
          <t>Calificación</t>
        </is>
      </c>
      <c r="F4" s="2" t="n"/>
      <c r="G4" s="2" t="n"/>
      <c r="H4" s="2" t="n"/>
    </row>
    <row r="5">
      <c r="A5" s="2" t="n">
        <v>1</v>
      </c>
      <c r="B5" s="2" t="inlineStr">
        <is>
          <t>Conceptos</t>
        </is>
      </c>
      <c r="C5" s="2" t="inlineStr">
        <is>
          <t>Explique los conceptos centrales de la lección.</t>
        </is>
      </c>
      <c r="D5" s="2" t="n">
        <v>25</v>
      </c>
      <c r="E5" s="5" t="inlineStr"/>
      <c r="F5" s="2" t="n"/>
      <c r="G5" s="2" t="n"/>
      <c r="H5" s="2" t="n"/>
    </row>
    <row r="6">
      <c r="A6" s="2" t="n">
        <v>2</v>
      </c>
      <c r="B6" s="2" t="inlineStr">
        <is>
          <t>Código M</t>
        </is>
      </c>
      <c r="C6" s="2" t="inlineStr">
        <is>
          <t>Construya una expresión o función aplicable.</t>
        </is>
      </c>
      <c r="D6" s="2" t="n">
        <v>25</v>
      </c>
      <c r="E6" s="5" t="inlineStr"/>
      <c r="F6" s="2" t="n"/>
      <c r="G6" s="2" t="n"/>
      <c r="H6" s="2" t="n"/>
    </row>
    <row r="7">
      <c r="A7" s="2" t="n">
        <v>3</v>
      </c>
      <c r="B7" s="2" t="inlineStr">
        <is>
          <t>Aplicación</t>
        </is>
      </c>
      <c r="C7" s="2" t="inlineStr">
        <is>
          <t>Resuelva el escenario de datos.</t>
        </is>
      </c>
      <c r="D7" s="2" t="n">
        <v>30</v>
      </c>
      <c r="E7" s="5" t="inlineStr"/>
      <c r="F7" s="2" t="n"/>
      <c r="G7" s="2" t="n"/>
      <c r="H7" s="2" t="n"/>
    </row>
    <row r="8">
      <c r="A8" s="2" t="n">
        <v>4</v>
      </c>
      <c r="B8" s="2" t="inlineStr">
        <is>
          <t>Pruebas</t>
        </is>
      </c>
      <c r="C8" s="2" t="inlineStr">
        <is>
          <t>Ejecute casos positivos, negativos y límites.</t>
        </is>
      </c>
      <c r="D8" s="2" t="n">
        <v>10</v>
      </c>
      <c r="E8" s="5" t="inlineStr"/>
      <c r="F8" s="2" t="n"/>
      <c r="G8" s="2" t="n"/>
      <c r="H8" s="2" t="n"/>
    </row>
    <row r="9">
      <c r="A9" s="2" t="n">
        <v>5</v>
      </c>
      <c r="B9" s="2" t="inlineStr">
        <is>
          <t>Conciliación</t>
        </is>
      </c>
      <c r="C9" s="2" t="inlineStr">
        <is>
          <t>Demuestre diferencia sin explicar igual a cero.</t>
        </is>
      </c>
      <c r="D9" s="2" t="n">
        <v>10</v>
      </c>
      <c r="E9" s="5" t="inlineStr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8" t="inlineStr">
        <is>
          <t>Calificación final</t>
        </is>
      </c>
      <c r="E11" s="9">
        <f>SUMPRODUCT(D5:D9,E5:E9)/SUM(D5:D9)</f>
        <v/>
      </c>
      <c r="F11" s="2" t="n"/>
      <c r="G11" s="2" t="n"/>
      <c r="H11" s="2" t="n"/>
    </row>
    <row r="12">
      <c r="A12" s="2" t="n"/>
      <c r="B12" s="2" t="n"/>
      <c r="C12" s="2" t="n"/>
      <c r="D12" s="8" t="inlineStr">
        <is>
          <t>Resultado</t>
        </is>
      </c>
      <c r="E12" s="2">
        <f>IF(E11&gt;=80,"Aprobado","Requiere recuperación")</f>
        <v/>
      </c>
      <c r="F12" s="2" t="n"/>
      <c r="G12" s="2" t="n"/>
      <c r="H12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21" customWidth="1" min="3" max="3"/>
    <col width="4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Solucionario del instructor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Registros: campos, contratos y transformación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Pregunta</t>
        </is>
      </c>
      <c r="C4" s="4" t="inlineStr">
        <is>
          <t>Respuesta</t>
        </is>
      </c>
      <c r="D4" s="4" t="inlineStr">
        <is>
          <t>Retroalimentación</t>
        </is>
      </c>
      <c r="E4" s="2" t="n"/>
      <c r="F4" s="2" t="n"/>
      <c r="G4" s="2" t="n"/>
      <c r="H4" s="2" t="n"/>
    </row>
    <row r="5">
      <c r="A5" s="2" t="n">
        <v>1</v>
      </c>
      <c r="B5" s="2" t="inlineStr">
        <is>
          <t>¿Qué comprueba Record.HasFields?</t>
        </is>
      </c>
      <c r="C5" s="2" t="inlineStr">
        <is>
          <t>Presencia de campos</t>
        </is>
      </c>
      <c r="D5" s="2" t="inlineStr">
        <is>
          <t>Consulte la explicación y el ejemplo M de la hoja Codigo_M.</t>
        </is>
      </c>
      <c r="E5" s="2" t="n"/>
      <c r="F5" s="2" t="n"/>
      <c r="G5" s="2" t="n"/>
      <c r="H5" s="2" t="n"/>
    </row>
    <row r="6">
      <c r="A6" s="2" t="n">
        <v>2</v>
      </c>
      <c r="B6" s="2" t="inlineStr">
        <is>
          <t>¿Cómo se delimita un registro?</t>
        </is>
      </c>
      <c r="C6" s="2" t="inlineStr">
        <is>
          <t>Corchetes</t>
        </is>
      </c>
      <c r="D6" s="2" t="inlineStr">
        <is>
          <t>Consulte la explicación y el ejemplo M de la hoja Codigo_M.</t>
        </is>
      </c>
      <c r="E6" s="2" t="n"/>
      <c r="F6" s="2" t="n"/>
      <c r="G6" s="2" t="n"/>
      <c r="H6" s="2" t="n"/>
    </row>
    <row r="7">
      <c r="A7" s="2" t="n">
        <v>3</v>
      </c>
      <c r="B7" s="2" t="inlineStr">
        <is>
          <t>¿Debe conservarse el valor original?</t>
        </is>
      </c>
      <c r="C7" s="2" t="inlineStr">
        <is>
          <t>Sí</t>
        </is>
      </c>
      <c r="D7" s="2" t="inlineStr">
        <is>
          <t>Consulte la explicación y el ejemplo M de la hoja Codigo_M.</t>
        </is>
      </c>
      <c r="E7" s="2" t="n"/>
      <c r="F7" s="2" t="n"/>
      <c r="G7" s="2" t="n"/>
      <c r="H7" s="2" t="n"/>
    </row>
    <row r="8">
      <c r="A8" s="2" t="n">
        <v>4</v>
      </c>
      <c r="B8" s="2" t="inlineStr">
        <is>
          <t>¿Qué resultado se exige en conciliación?</t>
        </is>
      </c>
      <c r="C8" s="2" t="inlineStr">
        <is>
          <t>Diferencia cero</t>
        </is>
      </c>
      <c r="D8" s="2" t="inlineStr">
        <is>
          <t>Consulte la explicación y el ejemplo M de la hoja Codigo_M.</t>
        </is>
      </c>
      <c r="E8" s="2" t="n"/>
      <c r="F8" s="2" t="n"/>
      <c r="G8" s="2" t="n"/>
      <c r="H8" s="2" t="n"/>
    </row>
    <row r="9">
      <c r="A9" s="2" t="n">
        <v>5</v>
      </c>
      <c r="B9" s="2" t="inlineStr">
        <is>
          <t>¿Las reglas deben probarse en límites?</t>
        </is>
      </c>
      <c r="C9" s="2" t="inlineStr">
        <is>
          <t>Sí</t>
        </is>
      </c>
      <c r="D9" s="2" t="inlineStr">
        <is>
          <t>Consulte la explicación y el ejemplo M de la hoja Codigo_M.</t>
        </is>
      </c>
      <c r="E9" s="2" t="n"/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Plantilla de conciliación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Registros: campos, contratos y transformación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Control</t>
        </is>
      </c>
      <c r="B4" s="4" t="inlineStr">
        <is>
          <t>Esperado</t>
        </is>
      </c>
      <c r="C4" s="4" t="inlineStr">
        <is>
          <t>Obtenido</t>
        </is>
      </c>
      <c r="D4" s="4" t="inlineStr">
        <is>
          <t>Diferencia</t>
        </is>
      </c>
      <c r="E4" s="4" t="inlineStr">
        <is>
          <t>Cumple</t>
        </is>
      </c>
      <c r="F4" s="2" t="n"/>
      <c r="G4" s="2" t="n"/>
      <c r="H4" s="2" t="n"/>
    </row>
    <row r="5">
      <c r="A5" s="2" t="inlineStr">
        <is>
          <t>Filas recibidas</t>
        </is>
      </c>
      <c r="B5" s="2" t="n">
        <v>10</v>
      </c>
      <c r="C5" s="2" t="inlineStr"/>
      <c r="D5" s="2">
        <f>B5-C5</f>
        <v/>
      </c>
      <c r="E5" s="2">
        <f>D5=0</f>
        <v/>
      </c>
      <c r="F5" s="2" t="n"/>
      <c r="G5" s="2" t="n"/>
      <c r="H5" s="2" t="n"/>
    </row>
    <row r="6">
      <c r="A6" s="2" t="inlineStr">
        <is>
          <t>Filas válidas</t>
        </is>
      </c>
      <c r="B6" s="2" t="n">
        <v>0</v>
      </c>
      <c r="C6" s="2" t="inlineStr"/>
      <c r="D6" s="2" t="inlineStr"/>
      <c r="E6" s="2" t="inlineStr"/>
      <c r="F6" s="2" t="n"/>
      <c r="G6" s="2" t="n"/>
      <c r="H6" s="2" t="n"/>
    </row>
    <row r="7">
      <c r="A7" s="2" t="inlineStr">
        <is>
          <t>Filas para revisión</t>
        </is>
      </c>
      <c r="B7" s="2" t="n">
        <v>0</v>
      </c>
      <c r="C7" s="2" t="inlineStr"/>
      <c r="D7" s="2" t="inlineStr"/>
      <c r="E7" s="2" t="inlineStr"/>
      <c r="F7" s="2" t="n"/>
      <c r="G7" s="2" t="n"/>
      <c r="H7" s="2" t="n"/>
    </row>
    <row r="8">
      <c r="A8" s="2" t="inlineStr">
        <is>
          <t>Filas explicadas</t>
        </is>
      </c>
      <c r="B8" s="2">
        <f>B6+B7</f>
        <v/>
      </c>
      <c r="C8" s="2" t="inlineStr"/>
      <c r="D8" s="2">
        <f>B5-B8</f>
        <v/>
      </c>
      <c r="E8" s="2">
        <f>D8=0</f>
        <v/>
      </c>
      <c r="F8" s="2" t="n"/>
      <c r="G8" s="2" t="n"/>
      <c r="H8" s="2" t="n"/>
    </row>
    <row r="9">
      <c r="A9" s="2" t="inlineStr">
        <is>
          <t>Casos definidos</t>
        </is>
      </c>
      <c r="B9" s="2" t="n">
        <v>5</v>
      </c>
      <c r="C9" s="2" t="inlineStr"/>
      <c r="D9" s="2">
        <f>B9-C9</f>
        <v/>
      </c>
      <c r="E9" s="2">
        <f>D9=0</f>
        <v/>
      </c>
      <c r="F9" s="2" t="n"/>
      <c r="G9" s="2" t="n"/>
      <c r="H9" s="2" t="n"/>
    </row>
    <row r="10">
      <c r="A10" s="2" t="inlineStr">
        <is>
          <t>Casos ejecutados</t>
        </is>
      </c>
      <c r="B10" s="2" t="n">
        <v>0</v>
      </c>
      <c r="C10" s="2" t="inlineStr"/>
      <c r="D10" s="2" t="inlineStr"/>
      <c r="E10" s="2" t="inlineStr"/>
      <c r="F10" s="2" t="n"/>
      <c r="G10" s="2" t="n"/>
      <c r="H10" s="2" t="n"/>
    </row>
    <row r="11">
      <c r="A11" s="2" t="inlineStr">
        <is>
          <t>Errores no controlados</t>
        </is>
      </c>
      <c r="B11" s="2" t="n">
        <v>0</v>
      </c>
      <c r="C11" s="2" t="n">
        <v>0</v>
      </c>
      <c r="D11" s="2">
        <f>B11-C11</f>
        <v/>
      </c>
      <c r="E11" s="2">
        <f>D11=0</f>
        <v/>
      </c>
      <c r="F11" s="2" t="n"/>
      <c r="G11" s="2" t="n"/>
      <c r="H11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Código M de referencia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Registros: campos, contratos y transformación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 ht="260" customHeight="1">
      <c r="A4" s="10" t="inlineStr">
        <is>
          <t>let
    Registro = [Movimiento="MOV-001", Cantidad=25],
    ExisteUnidad = Record.HasFields(Registro,"Unidad"),
    Unidad = Record.FieldOrDefault(Registro,"Unidad",null)
in
    [ExisteUnidad=ExisteUnidad, Unidad=Unidad]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11" t="inlineStr">
        <is>
          <t>Nota: adapte nombres de tablas, columnas, cultura, límites y reglas al escenario de práctica.</t>
        </is>
      </c>
      <c r="B6" s="2" t="n"/>
      <c r="C6" s="2" t="n"/>
      <c r="D6" s="2" t="n"/>
      <c r="E6" s="2" t="n"/>
      <c r="F6" s="2" t="n"/>
      <c r="G6" s="2" t="n"/>
      <c r="H6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Resumen y checklist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Registros: campos, contratos y transformación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Elemento</t>
        </is>
      </c>
      <c r="B4" s="4" t="inlineStr">
        <is>
          <t>Síntesis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Tema</t>
        </is>
      </c>
      <c r="B5" s="2" t="inlineStr">
        <is>
          <t>Registros: campos, contratos y transformación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Estructuras</t>
        </is>
      </c>
      <c r="B6" s="2" t="inlineStr">
        <is>
          <t>Valores escalares, listas, registros y tablas según corresponda.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Trazabilidad</t>
        </is>
      </c>
      <c r="B7" s="2" t="inlineStr">
        <is>
          <t>Conservar valores originales y FilaOrigen.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Diagnóstico</t>
        </is>
      </c>
      <c r="B8" s="2" t="inlineStr">
        <is>
          <t>Diferenciar ausencia, incumplimiento y error.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Pruebas</t>
        </is>
      </c>
      <c r="B9" s="2" t="inlineStr">
        <is>
          <t>Incluir casos positivos, negativos y de frontera.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Cierre</t>
        </is>
      </c>
      <c r="B10" s="2" t="inlineStr">
        <is>
          <t>Diferencia sin explicar = 0.</t>
        </is>
      </c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4" t="inlineStr">
        <is>
          <t>Comprobación</t>
        </is>
      </c>
      <c r="B12" s="4" t="inlineStr">
        <is>
          <t>Estado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Revisé el objetivo</t>
        </is>
      </c>
      <c r="B13" s="2" t="inlineStr">
        <is>
          <t>☐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Completé las actividades</t>
        </is>
      </c>
      <c r="B14" s="2" t="inlineStr">
        <is>
          <t>☐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Ejecuté el código M</t>
        </is>
      </c>
      <c r="B15" s="2" t="inlineStr">
        <is>
          <t>☐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Respondí el quiz</t>
        </is>
      </c>
      <c r="B16" s="2" t="inlineStr">
        <is>
          <t>☐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Completé la evaluación</t>
        </is>
      </c>
      <c r="B17" s="2" t="inlineStr">
        <is>
          <t>☐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Ejecuté casos de prueba</t>
        </is>
      </c>
      <c r="B18" s="2" t="inlineStr">
        <is>
          <t>☐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Concilié resultados</t>
        </is>
      </c>
      <c r="B19" s="2" t="inlineStr">
        <is>
          <t>☐</t>
        </is>
      </c>
      <c r="C19" s="2" t="n"/>
      <c r="D19" s="2" t="n"/>
      <c r="E19" s="2" t="n"/>
      <c r="F19" s="2" t="n"/>
      <c r="G19" s="2" t="n"/>
      <c r="H19" s="2" t="n"/>
    </row>
  </sheetData>
  <mergeCells count="2">
    <mergeCell ref="A2:H2"/>
    <mergeCell ref="A1:H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2026-08-31T01:47:15Z</dcterms:created>
  <dcterms:modified xmlns:dcterms="http://purl.org/dc/terms/" xmlns:xsi="http://www.w3.org/2001/XMLSchema-instance" xsi:type="dcterms:W3CDTF">2026-08-31T01:47:15Z</dcterms:modified>
</cp:coreProperties>
</file>