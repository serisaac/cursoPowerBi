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Configuracion" sheetId="3" state="visible" r:id="rId3"/>
    <sheet xmlns:r="http://schemas.openxmlformats.org/officeDocument/2006/relationships" name="Actividades" sheetId="4" state="visible" r:id="rId4"/>
    <sheet xmlns:r="http://schemas.openxmlformats.org/officeDocument/2006/relationships" name="Casos_Prueba" sheetId="5" state="visible" r:id="rId5"/>
    <sheet xmlns:r="http://schemas.openxmlformats.org/officeDocument/2006/relationships" name="Conciliacion" sheetId="6" state="visible" r:id="rId6"/>
    <sheet xmlns:r="http://schemas.openxmlformats.org/officeDocument/2006/relationships" name="Evaluacion" sheetId="7" state="visible" r:id="rId7"/>
    <sheet xmlns:r="http://schemas.openxmlformats.org/officeDocument/2006/relationships" name="Solucionario" sheetId="8" state="visible" r:id="rId8"/>
    <sheet xmlns:r="http://schemas.openxmlformats.org/officeDocument/2006/relationships" name="Codigo_M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04040"/>
      <sz val="10"/>
    </font>
    <font>
      <b val="1"/>
      <color rgb="00FFFFFF"/>
    </font>
    <font>
      <color rgb="000000FF"/>
    </font>
    <font>
      <color rgb="00000000"/>
    </font>
    <font>
      <name val="Consolas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F3F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165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7" borderId="0" pivotButton="0" quotePrefix="0" xfId="0"/>
    <xf numFmtId="9" fontId="0" fillId="0" borderId="0" pivotButton="0" quotePrefix="0" xfId="0"/>
    <xf numFmtId="0" fontId="6" fillId="8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Inst16" displayName="TblInst16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16" displayName="TblDatos16" ref="A4:J40" headerRowCount="1">
  <autoFilter ref="A4:J40"/>
  <tableColumns count="10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onfig16" displayName="TblConfig16" ref="A4:D12" headerRowCount="1">
  <autoFilter ref="A4:D12"/>
  <tableColumns count="4">
    <tableColumn id="1" name="Parámetro"/>
    <tableColumn id="2" name="Valor"/>
    <tableColumn id="3" name="Tipo"/>
    <tableColumn id="4" name="Obligatori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Act16" displayName="TblAct16" ref="A4:D12" headerRowCount="1">
  <autoFilter ref="A4:D12"/>
  <tableColumns count="4">
    <tableColumn id="1" name="No."/>
    <tableColumn id="2" name="Actividad"/>
    <tableColumn id="3" name="Estado"/>
    <tableColumn id="4" name="Evidencia / comentari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asos16" displayName="TblCasos16" ref="A4:E12" headerRowCount="1">
  <autoFilter ref="A4:E12"/>
  <tableColumns count="5">
    <tableColumn id="1" name="IdCaso"/>
    <tableColumn id="2" name="Entrada / escenario"/>
    <tableColumn id="3" name="Resultado esperado"/>
    <tableColumn id="4" name="Tipo"/>
    <tableColumn id="5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16" displayName="TblEval16" ref="A4:D11" headerRowCount="1">
  <autoFilter ref="A4:D11"/>
  <tableColumns count="4">
    <tableColumn id="1" name="Id"/>
    <tableColumn id="2" name="Pregunta / evidencia"/>
    <tableColumn id="3" name="Tipo"/>
    <tableColumn id="4" name="Punt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Sol16" displayName="TblSol16" ref="A4:B11" headerRowCount="1">
  <autoFilter ref="A4:B11"/>
  <tableColumns count="2">
    <tableColumn id="1" name="Elemento"/>
    <tableColumn id="2" name="Respuesta esperad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Módulo 8 | Lección 16</t>
        </is>
      </c>
    </row>
    <row r="2" ht="28" customHeight="1">
      <c r="A2" s="2" t="inlineStr">
        <is>
          <t>Funciones de orden superior y composicion avanzada</t>
        </is>
      </c>
    </row>
    <row r="4" ht="28" customHeight="1">
      <c r="A4" s="3" t="inlineStr">
        <is>
          <t>Elemento</t>
        </is>
      </c>
      <c r="B4" s="3" t="inlineStr">
        <is>
          <t>Descripción</t>
        </is>
      </c>
    </row>
    <row r="5">
      <c r="A5" s="4" t="inlineStr">
        <is>
          <t>Propósito</t>
        </is>
      </c>
      <c r="B5" s="4" t="inlineStr">
        <is>
          <t>Practicar funciones de orden superior y composicion avanzada mediante datos sintéticos y ejercicios guiados.</t>
        </is>
      </c>
    </row>
    <row r="6">
      <c r="A6" s="4" t="inlineStr">
        <is>
          <t>Duración sugerida</t>
        </is>
      </c>
      <c r="B6" s="4" t="inlineStr">
        <is>
          <t>180 a 240 minutos, según la lección.</t>
        </is>
      </c>
    </row>
    <row r="7">
      <c r="A7" s="4" t="inlineStr">
        <is>
          <t>Secuencia</t>
        </is>
      </c>
      <c r="B7" s="4" t="inlineStr">
        <is>
          <t>1. Revisar Datos_Practica. 2. Resolver Actividades. 3. Ejecutar Casos_Prueba. 4. Completar Evaluacion. 5. Comparar con Solucionario.</t>
        </is>
      </c>
    </row>
    <row r="8">
      <c r="A8" s="4" t="inlineStr">
        <is>
          <t>Regla de trazabilidad</t>
        </is>
      </c>
      <c r="B8" s="4" t="inlineStr">
        <is>
          <t>Conservar valores originales antes de limpiar, convertir o clasificar.</t>
        </is>
      </c>
    </row>
    <row r="9">
      <c r="A9" s="4" t="inlineStr">
        <is>
          <t>Regla de conciliación</t>
        </is>
      </c>
      <c r="B9" s="4" t="inlineStr">
        <is>
          <t>Toda diferencia sin explicar debe ser igual a cero.</t>
        </is>
      </c>
    </row>
    <row r="10">
      <c r="A10" s="4" t="inlineStr">
        <is>
          <t>Datos</t>
        </is>
      </c>
      <c r="B10" s="4" t="inlineStr">
        <is>
          <t>Todos los registros son sintéticos y fueron creados exclusivamente para capacitación.</t>
        </is>
      </c>
    </row>
    <row r="12">
      <c r="A12" s="5" t="inlineStr">
        <is>
          <t>Entregables</t>
        </is>
      </c>
    </row>
    <row r="13">
      <c r="A13" t="inlineStr">
        <is>
          <t>☐</t>
        </is>
      </c>
      <c r="B13" t="inlineStr">
        <is>
          <t>Consulta o función M solicitada</t>
        </is>
      </c>
    </row>
    <row r="14">
      <c r="A14" t="inlineStr">
        <is>
          <t>☐</t>
        </is>
      </c>
      <c r="B14" t="inlineStr">
        <is>
          <t>Matriz de pruebas completada</t>
        </is>
      </c>
    </row>
    <row r="15">
      <c r="A15" t="inlineStr">
        <is>
          <t>☐</t>
        </is>
      </c>
      <c r="B15" t="inlineStr">
        <is>
          <t>Control de conciliación</t>
        </is>
      </c>
    </row>
    <row r="16">
      <c r="A16" t="inlineStr">
        <is>
          <t>☐</t>
        </is>
      </c>
      <c r="B16" t="inlineStr">
        <is>
          <t>Evaluación respondida</t>
        </is>
      </c>
    </row>
    <row r="17">
      <c r="A17" t="inlineStr">
        <is>
          <t>☐</t>
        </is>
      </c>
      <c r="B17" t="inlineStr">
        <is>
          <t>Evidencia de resultados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</cols>
  <sheetData>
    <row r="1" ht="30" customHeight="1">
      <c r="A1" s="1" t="inlineStr">
        <is>
          <t>Datos sintéticos de práctica</t>
        </is>
      </c>
    </row>
    <row r="2" ht="28" customHeight="1">
      <c r="A2" s="2" t="inlineStr">
        <is>
          <t>Lección 16: Funciones de orden superior y composicion avanzada</t>
        </is>
      </c>
    </row>
    <row r="3"/>
    <row r="4" ht="28" customHeight="1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Activo</t>
        </is>
      </c>
      <c r="I4" s="3" t="inlineStr">
        <is>
          <t>Responsable</t>
        </is>
      </c>
      <c r="J4" s="3" t="inlineStr">
        <is>
          <t>Observacion</t>
        </is>
      </c>
    </row>
    <row r="5">
      <c r="A5" s="4" t="inlineStr">
        <is>
          <t>MOV-0001</t>
        </is>
      </c>
      <c r="B5" s="6" t="n">
        <v>46099</v>
      </c>
      <c r="C5" s="4" t="inlineStr">
        <is>
          <t>00380</t>
        </is>
      </c>
      <c r="D5" s="4" t="inlineStr">
        <is>
          <t>AJUSTE</t>
        </is>
      </c>
      <c r="E5" s="4" t="n">
        <v>0</v>
      </c>
      <c r="F5" s="4" t="n"/>
      <c r="G5" s="4" t="inlineStr">
        <is>
          <t>A01</t>
        </is>
      </c>
      <c r="H5" s="4" t="b">
        <v>1</v>
      </c>
      <c r="I5" s="4" t="inlineStr">
        <is>
          <t>RESP-02</t>
        </is>
      </c>
      <c r="J5" s="4" t="inlineStr">
        <is>
          <t xml:space="preserve"> Revisión </t>
        </is>
      </c>
    </row>
    <row r="6">
      <c r="A6" s="4" t="inlineStr">
        <is>
          <t>MOV-0002</t>
        </is>
      </c>
      <c r="B6" s="6" t="n">
        <v>46398</v>
      </c>
      <c r="C6" s="4" t="inlineStr">
        <is>
          <t>00519</t>
        </is>
      </c>
      <c r="D6" s="4" t="inlineStr">
        <is>
          <t>SALIDA</t>
        </is>
      </c>
      <c r="E6" s="4" t="inlineStr">
        <is>
          <t>1,250.50</t>
        </is>
      </c>
      <c r="F6" s="4" t="inlineStr">
        <is>
          <t>PZA</t>
        </is>
      </c>
      <c r="G6" s="4" t="inlineStr">
        <is>
          <t>A04</t>
        </is>
      </c>
      <c r="H6" s="4" t="b">
        <v>0</v>
      </c>
      <c r="I6" s="4" t="n"/>
      <c r="J6" s="4" t="inlineStr">
        <is>
          <t xml:space="preserve">   </t>
        </is>
      </c>
    </row>
    <row r="7">
      <c r="A7" s="4" t="inlineStr">
        <is>
          <t>MOV-0003</t>
        </is>
      </c>
      <c r="B7" s="6" t="n">
        <v>46236</v>
      </c>
      <c r="C7" s="4" t="inlineStr">
        <is>
          <t>00587</t>
        </is>
      </c>
      <c r="D7" s="4" t="inlineStr">
        <is>
          <t>SALIDA</t>
        </is>
      </c>
      <c r="E7" s="4" t="n"/>
      <c r="F7" s="4" t="inlineStr">
        <is>
          <t>PZA</t>
        </is>
      </c>
      <c r="G7" s="4" t="inlineStr">
        <is>
          <t>A04</t>
        </is>
      </c>
      <c r="H7" s="4" t="b">
        <v>1</v>
      </c>
      <c r="I7" s="4" t="inlineStr">
        <is>
          <t>RESP-01</t>
        </is>
      </c>
      <c r="J7" s="4" t="inlineStr">
        <is>
          <t>Linea 1
Linea 2</t>
        </is>
      </c>
    </row>
    <row r="8">
      <c r="A8" s="4" t="inlineStr">
        <is>
          <t>MOV-0004</t>
        </is>
      </c>
      <c r="B8" s="6" t="n">
        <v>46119</v>
      </c>
      <c r="C8" s="4" t="inlineStr">
        <is>
          <t>00533</t>
        </is>
      </c>
      <c r="D8" s="4" t="inlineStr">
        <is>
          <t>AJUSTE</t>
        </is>
      </c>
      <c r="E8" s="4" t="n"/>
      <c r="F8" s="4" t="n"/>
      <c r="G8" s="4" t="inlineStr">
        <is>
          <t>A01</t>
        </is>
      </c>
      <c r="H8" s="4" t="b">
        <v>1</v>
      </c>
      <c r="I8" s="4" t="inlineStr">
        <is>
          <t>RESP-01</t>
        </is>
      </c>
      <c r="J8" s="4" t="inlineStr">
        <is>
          <t>Entrada normal</t>
        </is>
      </c>
    </row>
    <row r="9">
      <c r="A9" s="4" t="inlineStr">
        <is>
          <t>MOV-0005</t>
        </is>
      </c>
      <c r="B9" s="4" t="inlineStr">
        <is>
          <t>31/02/2026</t>
        </is>
      </c>
      <c r="C9" s="4" t="inlineStr">
        <is>
          <t>00636</t>
        </is>
      </c>
      <c r="D9" s="4" t="inlineStr">
        <is>
          <t>OTRO</t>
        </is>
      </c>
      <c r="E9" s="4" t="n">
        <v>49</v>
      </c>
      <c r="F9" s="4" t="n"/>
      <c r="G9" s="4" t="inlineStr">
        <is>
          <t>A01</t>
        </is>
      </c>
      <c r="H9" s="4" t="b">
        <v>1</v>
      </c>
      <c r="I9" s="4" t="inlineStr">
        <is>
          <t>RESP-02</t>
        </is>
      </c>
      <c r="J9" s="4" t="inlineStr">
        <is>
          <t>Linea 1
Linea 2</t>
        </is>
      </c>
    </row>
    <row r="10">
      <c r="A10" s="4" t="inlineStr">
        <is>
          <t>MOV-0006</t>
        </is>
      </c>
      <c r="B10" s="6" t="n">
        <v>46027</v>
      </c>
      <c r="C10" s="4" t="inlineStr">
        <is>
          <t>00510</t>
        </is>
      </c>
      <c r="D10" s="4" t="inlineStr">
        <is>
          <t>sal</t>
        </is>
      </c>
      <c r="E10" s="4" t="n">
        <v>0</v>
      </c>
      <c r="F10" s="4" t="inlineStr"/>
      <c r="G10" s="4" t="inlineStr">
        <is>
          <t>A02</t>
        </is>
      </c>
      <c r="H10" s="4" t="b">
        <v>1</v>
      </c>
      <c r="I10" s="4" t="inlineStr">
        <is>
          <t>RESP-01</t>
        </is>
      </c>
      <c r="J10" s="4" t="inlineStr">
        <is>
          <t xml:space="preserve">   </t>
        </is>
      </c>
    </row>
    <row r="11">
      <c r="A11" s="4" t="n"/>
      <c r="B11" s="6" t="n">
        <v>46342</v>
      </c>
      <c r="C11" s="4" t="inlineStr">
        <is>
          <t>00199</t>
        </is>
      </c>
      <c r="D11" s="4" t="inlineStr">
        <is>
          <t>SALIDA</t>
        </is>
      </c>
      <c r="E11" s="4" t="inlineStr">
        <is>
          <t>Pendiente</t>
        </is>
      </c>
      <c r="F11" s="4" t="inlineStr">
        <is>
          <t xml:space="preserve"> pza </t>
        </is>
      </c>
      <c r="G11" s="4" t="n"/>
      <c r="H11" s="4" t="b">
        <v>0</v>
      </c>
      <c r="I11" s="4" t="inlineStr"/>
      <c r="J11" s="4" t="n"/>
    </row>
    <row r="12">
      <c r="A12" s="4" t="inlineStr">
        <is>
          <t>MOV-0008</t>
        </is>
      </c>
      <c r="B12" s="6" t="n">
        <v>46165</v>
      </c>
      <c r="C12" s="4" t="inlineStr">
        <is>
          <t>00876</t>
        </is>
      </c>
      <c r="D12" s="4" t="inlineStr">
        <is>
          <t>AJUSTE</t>
        </is>
      </c>
      <c r="E12" s="4" t="n">
        <v>0</v>
      </c>
      <c r="F12" s="4" t="inlineStr"/>
      <c r="G12" s="4" t="inlineStr">
        <is>
          <t>A01</t>
        </is>
      </c>
      <c r="H12" s="4" t="b">
        <v>1</v>
      </c>
      <c r="I12" s="4" t="inlineStr"/>
      <c r="J12" s="4" t="inlineStr">
        <is>
          <t>Linea 1
Linea 2</t>
        </is>
      </c>
    </row>
    <row r="13">
      <c r="A13" s="4" t="inlineStr">
        <is>
          <t>MOV-0009</t>
        </is>
      </c>
      <c r="B13" s="6" t="n">
        <v>46414</v>
      </c>
      <c r="C13" s="4" t="inlineStr">
        <is>
          <t>00507</t>
        </is>
      </c>
      <c r="D13" s="4" t="inlineStr">
        <is>
          <t>ent</t>
        </is>
      </c>
      <c r="E13" s="4" t="n">
        <v>0</v>
      </c>
      <c r="F13" s="4" t="inlineStr">
        <is>
          <t>LT</t>
        </is>
      </c>
      <c r="G13" s="4" t="inlineStr">
        <is>
          <t>A02</t>
        </is>
      </c>
      <c r="H13" s="4" t="b">
        <v>1</v>
      </c>
      <c r="I13" s="4" t="inlineStr"/>
      <c r="J13" s="4" t="n"/>
    </row>
    <row r="14">
      <c r="A14" s="4" t="inlineStr">
        <is>
          <t>MOV-0010</t>
        </is>
      </c>
      <c r="B14" s="6" t="n">
        <v>46319</v>
      </c>
      <c r="C14" s="4" t="inlineStr">
        <is>
          <t>00074</t>
        </is>
      </c>
      <c r="D14" s="4" t="inlineStr">
        <is>
          <t>OTRO</t>
        </is>
      </c>
      <c r="E14" s="4" t="inlineStr">
        <is>
          <t>Pendiente</t>
        </is>
      </c>
      <c r="F14" s="4" t="n"/>
      <c r="G14" s="4" t="inlineStr">
        <is>
          <t>A99</t>
        </is>
      </c>
      <c r="H14" s="4" t="b">
        <v>1</v>
      </c>
      <c r="I14" s="4" t="inlineStr"/>
      <c r="J14" s="4" t="inlineStr">
        <is>
          <t xml:space="preserve"> Revisión </t>
        </is>
      </c>
    </row>
    <row r="15">
      <c r="A15" s="4" t="inlineStr">
        <is>
          <t>MOV-0011</t>
        </is>
      </c>
      <c r="B15" s="4" t="n"/>
      <c r="C15" s="4" t="inlineStr">
        <is>
          <t>00303</t>
        </is>
      </c>
      <c r="D15" s="4" t="inlineStr">
        <is>
          <t>TRANSFERENCIA</t>
        </is>
      </c>
      <c r="E15" s="4" t="n">
        <v>-5</v>
      </c>
      <c r="F15" s="4" t="inlineStr">
        <is>
          <t>PZA</t>
        </is>
      </c>
      <c r="G15" s="4" t="inlineStr">
        <is>
          <t>A04</t>
        </is>
      </c>
      <c r="H15" s="4" t="b">
        <v>1</v>
      </c>
      <c r="I15" s="4" t="n"/>
      <c r="J15" s="4" t="inlineStr"/>
    </row>
    <row r="16">
      <c r="A16" s="4" t="inlineStr">
        <is>
          <t>MOV-0012</t>
        </is>
      </c>
      <c r="B16" s="6" t="n">
        <v>46410</v>
      </c>
      <c r="C16" s="4" t="inlineStr">
        <is>
          <t>00723</t>
        </is>
      </c>
      <c r="D16" s="4" t="inlineStr">
        <is>
          <t>AJUSTE</t>
        </is>
      </c>
      <c r="E16" s="4" t="inlineStr">
        <is>
          <t>1,250.50</t>
        </is>
      </c>
      <c r="F16" s="4" t="inlineStr">
        <is>
          <t xml:space="preserve"> pza </t>
        </is>
      </c>
      <c r="G16" s="4" t="inlineStr">
        <is>
          <t>A01</t>
        </is>
      </c>
      <c r="H16" s="4" t="b">
        <v>1</v>
      </c>
      <c r="I16" s="4" t="inlineStr">
        <is>
          <t>RESP-01</t>
        </is>
      </c>
      <c r="J16" s="4" t="inlineStr">
        <is>
          <t xml:space="preserve"> Revisión </t>
        </is>
      </c>
    </row>
    <row r="17">
      <c r="A17" s="4" t="inlineStr">
        <is>
          <t>MOV-0013</t>
        </is>
      </c>
      <c r="B17" s="6" t="n">
        <v>46375</v>
      </c>
      <c r="C17" s="4" t="inlineStr">
        <is>
          <t>00165</t>
        </is>
      </c>
      <c r="D17" s="4" t="inlineStr">
        <is>
          <t>TRANSFERENCIA</t>
        </is>
      </c>
      <c r="E17" s="4" t="n">
        <v>15</v>
      </c>
      <c r="F17" s="4" t="inlineStr">
        <is>
          <t xml:space="preserve"> pza </t>
        </is>
      </c>
      <c r="G17" s="4" t="inlineStr">
        <is>
          <t>A03</t>
        </is>
      </c>
      <c r="H17" s="4" t="b">
        <v>1</v>
      </c>
      <c r="I17" s="4" t="n"/>
      <c r="J17" s="4" t="inlineStr">
        <is>
          <t xml:space="preserve"> Revisión </t>
        </is>
      </c>
    </row>
    <row r="18">
      <c r="A18" s="4" t="inlineStr">
        <is>
          <t>MOV-0014</t>
        </is>
      </c>
      <c r="B18" s="6" t="n">
        <v>46054</v>
      </c>
      <c r="C18" s="4" t="inlineStr">
        <is>
          <t>00420</t>
        </is>
      </c>
      <c r="D18" s="4" t="inlineStr">
        <is>
          <t>ent</t>
        </is>
      </c>
      <c r="E18" s="4" t="n"/>
      <c r="F18" s="4" t="inlineStr">
        <is>
          <t xml:space="preserve"> pza </t>
        </is>
      </c>
      <c r="G18" s="4" t="inlineStr">
        <is>
          <t>A01</t>
        </is>
      </c>
      <c r="H18" s="4" t="b">
        <v>1</v>
      </c>
      <c r="I18" s="4" t="inlineStr"/>
      <c r="J18" s="4" t="inlineStr">
        <is>
          <t>Linea 1
Linea 2</t>
        </is>
      </c>
    </row>
    <row r="19">
      <c r="A19" s="4" t="inlineStr">
        <is>
          <t>MOV-0015</t>
        </is>
      </c>
      <c r="B19" s="6" t="n">
        <v>46031</v>
      </c>
      <c r="C19" s="4" t="inlineStr">
        <is>
          <t>00035</t>
        </is>
      </c>
      <c r="D19" s="4" t="inlineStr">
        <is>
          <t>ENTRADA</t>
        </is>
      </c>
      <c r="E19" s="4" t="n">
        <v>85</v>
      </c>
      <c r="F19" s="4" t="inlineStr"/>
      <c r="G19" s="4" t="inlineStr">
        <is>
          <t>A99</t>
        </is>
      </c>
      <c r="H19" s="4" t="b">
        <v>1</v>
      </c>
      <c r="I19" s="4" t="inlineStr">
        <is>
          <t>RESP-02</t>
        </is>
      </c>
      <c r="J19" s="4" t="n"/>
    </row>
    <row r="20">
      <c r="A20" s="4" t="inlineStr">
        <is>
          <t>MOV-0016</t>
        </is>
      </c>
      <c r="B20" s="6" t="n">
        <v>46232</v>
      </c>
      <c r="C20" s="4" t="inlineStr">
        <is>
          <t>00726</t>
        </is>
      </c>
      <c r="D20" s="4" t="inlineStr">
        <is>
          <t>SALIDA</t>
        </is>
      </c>
      <c r="E20" s="4" t="n">
        <v>78</v>
      </c>
      <c r="F20" s="4" t="inlineStr">
        <is>
          <t>KG</t>
        </is>
      </c>
      <c r="G20" s="4" t="inlineStr">
        <is>
          <t>A01</t>
        </is>
      </c>
      <c r="H20" s="4" t="b">
        <v>1</v>
      </c>
      <c r="I20" s="4" t="inlineStr"/>
      <c r="J20" s="4" t="inlineStr">
        <is>
          <t xml:space="preserve">   </t>
        </is>
      </c>
    </row>
    <row r="21">
      <c r="A21" s="4" t="inlineStr">
        <is>
          <t>MOV-0017</t>
        </is>
      </c>
      <c r="B21" s="4" t="inlineStr">
        <is>
          <t>31/02/2026</t>
        </is>
      </c>
      <c r="C21" s="4" t="inlineStr">
        <is>
          <t>00588</t>
        </is>
      </c>
      <c r="D21" s="4" t="inlineStr">
        <is>
          <t>ENTRADA</t>
        </is>
      </c>
      <c r="E21" s="4" t="n">
        <v>-5</v>
      </c>
      <c r="F21" s="4" t="inlineStr">
        <is>
          <t>LT</t>
        </is>
      </c>
      <c r="G21" s="4" t="inlineStr">
        <is>
          <t>A03</t>
        </is>
      </c>
      <c r="H21" s="4" t="b">
        <v>1</v>
      </c>
      <c r="I21" s="4" t="inlineStr">
        <is>
          <t>RESP-01</t>
        </is>
      </c>
      <c r="J21" s="4" t="inlineStr">
        <is>
          <t>Linea 1
Linea 2</t>
        </is>
      </c>
    </row>
    <row r="22">
      <c r="A22" s="4" t="inlineStr">
        <is>
          <t>MOV-0018</t>
        </is>
      </c>
      <c r="B22" s="6" t="n">
        <v>46410</v>
      </c>
      <c r="C22" s="4" t="inlineStr">
        <is>
          <t>00511</t>
        </is>
      </c>
      <c r="D22" s="4" t="inlineStr">
        <is>
          <t>SALIDA</t>
        </is>
      </c>
      <c r="E22" s="4" t="inlineStr">
        <is>
          <t>Pendiente</t>
        </is>
      </c>
      <c r="F22" s="4" t="inlineStr">
        <is>
          <t>PZA</t>
        </is>
      </c>
      <c r="G22" s="4" t="inlineStr">
        <is>
          <t>A99</t>
        </is>
      </c>
      <c r="H22" s="4" t="b">
        <v>1</v>
      </c>
      <c r="I22" s="4" t="inlineStr">
        <is>
          <t>RESP-02</t>
        </is>
      </c>
      <c r="J22" s="4" t="inlineStr"/>
    </row>
    <row r="23">
      <c r="A23" s="4" t="inlineStr">
        <is>
          <t>MOV-0019</t>
        </is>
      </c>
      <c r="B23" s="6" t="n">
        <v>46203</v>
      </c>
      <c r="C23" s="4" t="inlineStr">
        <is>
          <t>00453</t>
        </is>
      </c>
      <c r="D23" s="4" t="inlineStr">
        <is>
          <t>ENTRADA</t>
        </is>
      </c>
      <c r="E23" s="4" t="n">
        <v>0</v>
      </c>
      <c r="F23" s="4" t="inlineStr"/>
      <c r="G23" s="4" t="inlineStr">
        <is>
          <t>A02</t>
        </is>
      </c>
      <c r="H23" s="4" t="b">
        <v>0</v>
      </c>
      <c r="I23" s="4" t="n"/>
      <c r="J23" s="4" t="inlineStr">
        <is>
          <t xml:space="preserve"> Revisión </t>
        </is>
      </c>
    </row>
    <row r="24">
      <c r="A24" s="4" t="inlineStr">
        <is>
          <t>MOV-0020</t>
        </is>
      </c>
      <c r="B24" s="6" t="n">
        <v>46178</v>
      </c>
      <c r="C24" s="4" t="inlineStr">
        <is>
          <t>00125</t>
        </is>
      </c>
      <c r="D24" s="4" t="inlineStr">
        <is>
          <t>ENTRADA</t>
        </is>
      </c>
      <c r="E24" s="4" t="inlineStr">
        <is>
          <t>1,250.50</t>
        </is>
      </c>
      <c r="F24" s="4" t="inlineStr">
        <is>
          <t xml:space="preserve"> pza </t>
        </is>
      </c>
      <c r="G24" s="4" t="n"/>
      <c r="H24" s="4" t="b">
        <v>1</v>
      </c>
      <c r="I24" s="4" t="n"/>
      <c r="J24" s="4" t="n"/>
    </row>
    <row r="25">
      <c r="A25" s="4" t="inlineStr">
        <is>
          <t>MOV-0021</t>
        </is>
      </c>
      <c r="B25" s="6" t="n">
        <v>46354</v>
      </c>
      <c r="C25" s="4" t="inlineStr">
        <is>
          <t>00093</t>
        </is>
      </c>
      <c r="D25" s="4" t="inlineStr">
        <is>
          <t>sal</t>
        </is>
      </c>
      <c r="E25" s="4" t="n"/>
      <c r="F25" s="4" t="inlineStr"/>
      <c r="G25" s="4" t="inlineStr">
        <is>
          <t>A04</t>
        </is>
      </c>
      <c r="H25" s="4" t="b">
        <v>1</v>
      </c>
      <c r="I25" s="4" t="n"/>
      <c r="J25" s="4" t="inlineStr">
        <is>
          <t xml:space="preserve"> Revisión </t>
        </is>
      </c>
    </row>
    <row r="26">
      <c r="A26" s="4" t="inlineStr">
        <is>
          <t>MOV-0022</t>
        </is>
      </c>
      <c r="B26" s="6" t="n">
        <v>46009</v>
      </c>
      <c r="C26" s="4" t="inlineStr">
        <is>
          <t>00203</t>
        </is>
      </c>
      <c r="D26" s="4" t="inlineStr">
        <is>
          <t>ENTRADA</t>
        </is>
      </c>
      <c r="E26" s="4" t="n">
        <v>58</v>
      </c>
      <c r="F26" s="4" t="inlineStr">
        <is>
          <t>PZA</t>
        </is>
      </c>
      <c r="G26" s="4" t="inlineStr">
        <is>
          <t>A02</t>
        </is>
      </c>
      <c r="H26" s="4" t="b">
        <v>1</v>
      </c>
      <c r="I26" s="4" t="inlineStr">
        <is>
          <t>RESP-01</t>
        </is>
      </c>
      <c r="J26" s="4" t="inlineStr">
        <is>
          <t>Linea 1
Linea 2</t>
        </is>
      </c>
    </row>
    <row r="27">
      <c r="A27" s="4" t="inlineStr"/>
      <c r="B27" s="6" t="n">
        <v>46169</v>
      </c>
      <c r="C27" s="4" t="inlineStr">
        <is>
          <t>00850</t>
        </is>
      </c>
      <c r="D27" s="4" t="inlineStr">
        <is>
          <t>AJUSTE</t>
        </is>
      </c>
      <c r="E27" s="4" t="n">
        <v>68</v>
      </c>
      <c r="F27" s="4" t="n"/>
      <c r="G27" s="4" t="inlineStr">
        <is>
          <t>A99</t>
        </is>
      </c>
      <c r="H27" s="4" t="b">
        <v>1</v>
      </c>
      <c r="I27" s="4" t="inlineStr">
        <is>
          <t>RESP-02</t>
        </is>
      </c>
      <c r="J27" s="4" t="inlineStr"/>
    </row>
    <row r="28">
      <c r="A28" s="4" t="inlineStr">
        <is>
          <t>MOV-0024</t>
        </is>
      </c>
      <c r="B28" s="6" t="n">
        <v>46252</v>
      </c>
      <c r="C28" s="4" t="inlineStr">
        <is>
          <t>00394</t>
        </is>
      </c>
      <c r="D28" s="4" t="inlineStr">
        <is>
          <t>sal</t>
        </is>
      </c>
      <c r="E28" s="4" t="inlineStr">
        <is>
          <t>1,250.50</t>
        </is>
      </c>
      <c r="F28" s="4" t="inlineStr">
        <is>
          <t>KG</t>
        </is>
      </c>
      <c r="G28" s="4" t="inlineStr">
        <is>
          <t>A01</t>
        </is>
      </c>
      <c r="H28" s="4" t="b">
        <v>1</v>
      </c>
      <c r="I28" s="4" t="inlineStr"/>
      <c r="J28" s="4" t="inlineStr">
        <is>
          <t>Entrada normal</t>
        </is>
      </c>
    </row>
    <row r="29">
      <c r="A29" s="4" t="inlineStr">
        <is>
          <t>MOV-0025</t>
        </is>
      </c>
      <c r="B29" s="6" t="n">
        <v>46363</v>
      </c>
      <c r="C29" s="4" t="inlineStr">
        <is>
          <t>00329</t>
        </is>
      </c>
      <c r="D29" s="4" t="inlineStr">
        <is>
          <t>AJUSTE</t>
        </is>
      </c>
      <c r="E29" s="4" t="inlineStr">
        <is>
          <t>1,250.50</t>
        </is>
      </c>
      <c r="F29" s="4" t="inlineStr">
        <is>
          <t>LT</t>
        </is>
      </c>
      <c r="G29" s="4" t="inlineStr">
        <is>
          <t>A01</t>
        </is>
      </c>
      <c r="H29" s="4" t="b">
        <v>0</v>
      </c>
      <c r="I29" s="4" t="inlineStr"/>
      <c r="J29" s="4" t="inlineStr">
        <is>
          <t>Linea 1
Linea 2</t>
        </is>
      </c>
    </row>
    <row r="30">
      <c r="A30" s="4" t="inlineStr">
        <is>
          <t>MOV-0026</t>
        </is>
      </c>
      <c r="B30" s="6" t="n">
        <v>46418</v>
      </c>
      <c r="C30" s="4" t="inlineStr">
        <is>
          <t>00329</t>
        </is>
      </c>
      <c r="D30" s="4" t="inlineStr">
        <is>
          <t>ent</t>
        </is>
      </c>
      <c r="E30" s="4" t="inlineStr">
        <is>
          <t>1,250.50</t>
        </is>
      </c>
      <c r="F30" s="4" t="inlineStr">
        <is>
          <t>LT</t>
        </is>
      </c>
      <c r="G30" s="4" t="inlineStr">
        <is>
          <t>A03</t>
        </is>
      </c>
      <c r="H30" s="4" t="b">
        <v>1</v>
      </c>
      <c r="I30" s="4" t="inlineStr">
        <is>
          <t>RESP-02</t>
        </is>
      </c>
      <c r="J30" s="4" t="inlineStr">
        <is>
          <t xml:space="preserve">   </t>
        </is>
      </c>
    </row>
    <row r="31">
      <c r="A31" s="4" t="inlineStr">
        <is>
          <t>MOV-0027</t>
        </is>
      </c>
      <c r="B31" s="6" t="n">
        <v>46172</v>
      </c>
      <c r="C31" s="4" t="inlineStr">
        <is>
          <t>00388</t>
        </is>
      </c>
      <c r="D31" s="4" t="inlineStr">
        <is>
          <t>ent</t>
        </is>
      </c>
      <c r="E31" s="4" t="n">
        <v>-5</v>
      </c>
      <c r="F31" s="4" t="inlineStr">
        <is>
          <t>KG</t>
        </is>
      </c>
      <c r="G31" s="4" t="inlineStr">
        <is>
          <t>A03</t>
        </is>
      </c>
      <c r="H31" s="4" t="b">
        <v>0</v>
      </c>
      <c r="I31" s="4" t="n"/>
      <c r="J31" s="4" t="inlineStr">
        <is>
          <t>Linea 1
Linea 2</t>
        </is>
      </c>
    </row>
    <row r="32">
      <c r="A32" s="4" t="inlineStr">
        <is>
          <t>MOV-0028</t>
        </is>
      </c>
      <c r="B32" s="6" t="n">
        <v>46251</v>
      </c>
      <c r="C32" s="4" t="inlineStr">
        <is>
          <t>00959</t>
        </is>
      </c>
      <c r="D32" s="4" t="inlineStr">
        <is>
          <t>sal</t>
        </is>
      </c>
      <c r="E32" s="4" t="n">
        <v>-5</v>
      </c>
      <c r="F32" s="4" t="n"/>
      <c r="G32" s="4" t="inlineStr">
        <is>
          <t>A99</t>
        </is>
      </c>
      <c r="H32" s="4" t="b">
        <v>1</v>
      </c>
      <c r="I32" s="4" t="n"/>
      <c r="J32" s="4" t="inlineStr">
        <is>
          <t xml:space="preserve"> Revisión </t>
        </is>
      </c>
    </row>
    <row r="33">
      <c r="A33" s="4" t="inlineStr">
        <is>
          <t>MOV-0029</t>
        </is>
      </c>
      <c r="B33" s="6" t="n">
        <v>46233</v>
      </c>
      <c r="C33" s="4" t="inlineStr">
        <is>
          <t>00843</t>
        </is>
      </c>
      <c r="D33" s="4" t="inlineStr">
        <is>
          <t>ent</t>
        </is>
      </c>
      <c r="E33" s="4" t="n">
        <v>65</v>
      </c>
      <c r="F33" s="4" t="inlineStr">
        <is>
          <t>LT</t>
        </is>
      </c>
      <c r="G33" s="4" t="inlineStr">
        <is>
          <t>A02</t>
        </is>
      </c>
      <c r="H33" s="4" t="b">
        <v>1</v>
      </c>
      <c r="I33" s="4" t="n"/>
      <c r="J33" s="4" t="inlineStr">
        <is>
          <t>Linea 1
Linea 2</t>
        </is>
      </c>
    </row>
    <row r="34">
      <c r="A34" s="4" t="inlineStr">
        <is>
          <t>MOV-0030</t>
        </is>
      </c>
      <c r="B34" s="6" t="n">
        <v>46426</v>
      </c>
      <c r="C34" s="4" t="inlineStr">
        <is>
          <t>00278</t>
        </is>
      </c>
      <c r="D34" s="4" t="inlineStr">
        <is>
          <t>AJUSTE</t>
        </is>
      </c>
      <c r="E34" s="4" t="n">
        <v>100</v>
      </c>
      <c r="F34" s="4" t="inlineStr"/>
      <c r="G34" s="4" t="inlineStr">
        <is>
          <t>A03</t>
        </is>
      </c>
      <c r="H34" s="4" t="b">
        <v>1</v>
      </c>
      <c r="I34" s="4" t="inlineStr"/>
      <c r="J34" s="4" t="n"/>
    </row>
    <row r="35">
      <c r="A35" s="4" t="inlineStr">
        <is>
          <t>MOV-0031</t>
        </is>
      </c>
      <c r="B35" s="6" t="n">
        <v>46120</v>
      </c>
      <c r="C35" s="4" t="inlineStr">
        <is>
          <t>00284</t>
        </is>
      </c>
      <c r="D35" s="4" t="inlineStr">
        <is>
          <t>sal</t>
        </is>
      </c>
      <c r="E35" s="4" t="n">
        <v>0</v>
      </c>
      <c r="F35" s="4" t="inlineStr">
        <is>
          <t>LT</t>
        </is>
      </c>
      <c r="G35" s="4" t="inlineStr">
        <is>
          <t>A02</t>
        </is>
      </c>
      <c r="H35" s="4" t="b">
        <v>1</v>
      </c>
      <c r="I35" s="4" t="n"/>
      <c r="J35" s="4" t="inlineStr">
        <is>
          <t xml:space="preserve"> Revisión </t>
        </is>
      </c>
    </row>
    <row r="36">
      <c r="A36" s="4" t="inlineStr">
        <is>
          <t>MOV-0032</t>
        </is>
      </c>
      <c r="B36" s="6" t="n">
        <v>46102</v>
      </c>
      <c r="C36" s="4" t="inlineStr">
        <is>
          <t>00833</t>
        </is>
      </c>
      <c r="D36" s="4" t="inlineStr">
        <is>
          <t>OTRO</t>
        </is>
      </c>
      <c r="E36" s="4" t="inlineStr">
        <is>
          <t>Pendiente</t>
        </is>
      </c>
      <c r="F36" s="4" t="inlineStr">
        <is>
          <t>KG</t>
        </is>
      </c>
      <c r="G36" s="4" t="inlineStr">
        <is>
          <t>A03</t>
        </is>
      </c>
      <c r="H36" s="4" t="b">
        <v>0</v>
      </c>
      <c r="I36" s="4" t="inlineStr">
        <is>
          <t>RESP-01</t>
        </is>
      </c>
      <c r="J36" s="4" t="inlineStr">
        <is>
          <t>Entrada normal</t>
        </is>
      </c>
    </row>
    <row r="37">
      <c r="A37" s="4" t="inlineStr">
        <is>
          <t>MOV-0033</t>
        </is>
      </c>
      <c r="B37" s="6" t="n">
        <v>46181</v>
      </c>
      <c r="C37" s="4" t="inlineStr">
        <is>
          <t>00087</t>
        </is>
      </c>
      <c r="D37" s="4" t="inlineStr">
        <is>
          <t>sal</t>
        </is>
      </c>
      <c r="E37" s="4" t="inlineStr">
        <is>
          <t>Pendiente</t>
        </is>
      </c>
      <c r="F37" s="4" t="inlineStr">
        <is>
          <t xml:space="preserve"> pza </t>
        </is>
      </c>
      <c r="G37" s="4" t="inlineStr">
        <is>
          <t>A01</t>
        </is>
      </c>
      <c r="H37" s="4" t="b">
        <v>1</v>
      </c>
      <c r="I37" s="4" t="inlineStr">
        <is>
          <t>RESP-01</t>
        </is>
      </c>
      <c r="J37" s="4" t="n"/>
    </row>
    <row r="38">
      <c r="A38" s="4" t="inlineStr">
        <is>
          <t>MOV-0034</t>
        </is>
      </c>
      <c r="B38" s="6" t="n">
        <v>46080</v>
      </c>
      <c r="C38" s="4" t="inlineStr">
        <is>
          <t>00702</t>
        </is>
      </c>
      <c r="D38" s="4" t="inlineStr">
        <is>
          <t>TRANSFERENCIA</t>
        </is>
      </c>
      <c r="E38" s="4" t="n">
        <v>12</v>
      </c>
      <c r="F38" s="4" t="inlineStr">
        <is>
          <t xml:space="preserve"> pza </t>
        </is>
      </c>
      <c r="G38" s="4" t="inlineStr">
        <is>
          <t>A04</t>
        </is>
      </c>
      <c r="H38" s="4" t="b">
        <v>1</v>
      </c>
      <c r="I38" s="4" t="inlineStr">
        <is>
          <t>RESP-01</t>
        </is>
      </c>
      <c r="J38" s="4" t="inlineStr">
        <is>
          <t xml:space="preserve"> Revisión </t>
        </is>
      </c>
    </row>
    <row r="39">
      <c r="A39" s="4" t="inlineStr">
        <is>
          <t>MOV-0035</t>
        </is>
      </c>
      <c r="B39" s="6" t="n">
        <v>46293</v>
      </c>
      <c r="C39" s="4" t="inlineStr">
        <is>
          <t>00367</t>
        </is>
      </c>
      <c r="D39" s="4" t="inlineStr">
        <is>
          <t>OTRO</t>
        </is>
      </c>
      <c r="E39" s="4" t="n">
        <v>84</v>
      </c>
      <c r="F39" s="4" t="inlineStr">
        <is>
          <t>LT</t>
        </is>
      </c>
      <c r="G39" s="4" t="inlineStr">
        <is>
          <t>A01</t>
        </is>
      </c>
      <c r="H39" s="4" t="b">
        <v>1</v>
      </c>
      <c r="I39" s="4" t="inlineStr">
        <is>
          <t>RESP-02</t>
        </is>
      </c>
      <c r="J39" s="4" t="inlineStr">
        <is>
          <t>Linea 1
Linea 2</t>
        </is>
      </c>
    </row>
    <row r="40">
      <c r="A40" s="4" t="inlineStr">
        <is>
          <t>MOV-0036</t>
        </is>
      </c>
      <c r="B40" s="6" t="n">
        <v>46394</v>
      </c>
      <c r="C40" s="4" t="inlineStr">
        <is>
          <t>00376</t>
        </is>
      </c>
      <c r="D40" s="4" t="inlineStr">
        <is>
          <t>OTRO</t>
        </is>
      </c>
      <c r="E40" s="4" t="n">
        <v>0</v>
      </c>
      <c r="F40" s="4" t="n"/>
      <c r="G40" s="4" t="inlineStr">
        <is>
          <t>A01</t>
        </is>
      </c>
      <c r="H40" s="4" t="b">
        <v>1</v>
      </c>
      <c r="I40" s="4" t="inlineStr">
        <is>
          <t>RESP-02</t>
        </is>
      </c>
      <c r="J40" s="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3" customWidth="1" min="4" max="4"/>
  </cols>
  <sheetData>
    <row r="1" ht="30" customHeight="1">
      <c r="A1" s="1" t="inlineStr">
        <is>
          <t>Configuración de práctica</t>
        </is>
      </c>
    </row>
    <row r="2" ht="28" customHeight="1">
      <c r="A2" s="2" t="inlineStr">
        <is>
          <t>Valores editables para probar escenarios</t>
        </is>
      </c>
    </row>
    <row r="4" ht="28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Tipo</t>
        </is>
      </c>
      <c r="D4" s="3" t="inlineStr">
        <is>
          <t>Obligatorio</t>
        </is>
      </c>
    </row>
    <row r="5">
      <c r="A5" s="4" t="inlineStr">
        <is>
          <t>Ambiente</t>
        </is>
      </c>
      <c r="B5" s="7" t="inlineStr">
        <is>
          <t>PRUEBAS</t>
        </is>
      </c>
      <c r="C5" s="4" t="inlineStr">
        <is>
          <t>text</t>
        </is>
      </c>
      <c r="D5" s="4" t="inlineStr">
        <is>
          <t>Sí</t>
        </is>
      </c>
    </row>
    <row r="6">
      <c r="A6" s="4" t="inlineStr">
        <is>
          <t>FechaInicial</t>
        </is>
      </c>
      <c r="B6" s="8" t="n">
        <v>46023</v>
      </c>
      <c r="C6" s="4" t="inlineStr">
        <is>
          <t>date</t>
        </is>
      </c>
      <c r="D6" s="4" t="inlineStr">
        <is>
          <t>Sí</t>
        </is>
      </c>
    </row>
    <row r="7">
      <c r="A7" s="4" t="inlineStr">
        <is>
          <t>FechaFinal</t>
        </is>
      </c>
      <c r="B7" s="8" t="n">
        <v>46387</v>
      </c>
      <c r="C7" s="4" t="inlineStr">
        <is>
          <t>date</t>
        </is>
      </c>
      <c r="D7" s="4" t="inlineStr">
        <is>
          <t>Sí</t>
        </is>
      </c>
    </row>
    <row r="8">
      <c r="A8" s="4" t="inlineStr">
        <is>
          <t>CantidadMinima</t>
        </is>
      </c>
      <c r="B8" s="7" t="n">
        <v>0</v>
      </c>
      <c r="C8" s="4" t="inlineStr">
        <is>
          <t>number</t>
        </is>
      </c>
      <c r="D8" s="4" t="inlineStr">
        <is>
          <t>Sí</t>
        </is>
      </c>
    </row>
    <row r="9">
      <c r="A9" s="4" t="inlineStr">
        <is>
          <t>Cultura</t>
        </is>
      </c>
      <c r="B9" s="7" t="inlineStr">
        <is>
          <t>es-MX</t>
        </is>
      </c>
      <c r="C9" s="4" t="inlineStr">
        <is>
          <t>text</t>
        </is>
      </c>
      <c r="D9" s="4" t="inlineStr">
        <is>
          <t>Sí</t>
        </is>
      </c>
    </row>
    <row r="10">
      <c r="A10" s="4" t="inlineStr">
        <is>
          <t>FormatoFecha</t>
        </is>
      </c>
      <c r="B10" s="7" t="inlineStr">
        <is>
          <t>dd/MM/yyyy</t>
        </is>
      </c>
      <c r="C10" s="4" t="inlineStr">
        <is>
          <t>text</t>
        </is>
      </c>
      <c r="D10" s="4" t="inlineStr">
        <is>
          <t>Sí</t>
        </is>
      </c>
    </row>
    <row r="11">
      <c r="A11" s="4" t="inlineStr">
        <is>
          <t>PermitirInactivos</t>
        </is>
      </c>
      <c r="B11" s="7" t="b">
        <v>0</v>
      </c>
      <c r="C11" s="4" t="inlineStr">
        <is>
          <t>logical</t>
        </is>
      </c>
      <c r="D11" s="4" t="inlineStr">
        <is>
          <t>No</t>
        </is>
      </c>
    </row>
    <row r="12">
      <c r="A12" s="4" t="inlineStr">
        <is>
          <t>AplicarBuffer</t>
        </is>
      </c>
      <c r="B12" s="7" t="b">
        <v>0</v>
      </c>
      <c r="C12" s="4" t="inlineStr">
        <is>
          <t>logical</t>
        </is>
      </c>
      <c r="D12" s="4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4" customWidth="1" min="4" max="4"/>
  </cols>
  <sheetData>
    <row r="1" ht="30" customHeight="1">
      <c r="A1" s="1" t="inlineStr">
        <is>
          <t>Actividades prácticas</t>
        </is>
      </c>
    </row>
    <row r="2" ht="28" customHeight="1">
      <c r="A2" s="2" t="inlineStr">
        <is>
          <t>Funciones de orden superior y composicion avanzada</t>
        </is>
      </c>
    </row>
    <row r="4" ht="28" customHeight="1">
      <c r="A4" s="3" t="inlineStr">
        <is>
          <t>No.</t>
        </is>
      </c>
      <c r="B4" s="3" t="inlineStr">
        <is>
          <t>Actividad</t>
        </is>
      </c>
      <c r="C4" s="3" t="inlineStr">
        <is>
          <t>Estado</t>
        </is>
      </c>
      <c r="D4" s="3" t="inlineStr">
        <is>
          <t>Evidencia / comentario</t>
        </is>
      </c>
    </row>
    <row r="5">
      <c r="A5" s="4" t="n">
        <v>1</v>
      </c>
      <c r="B5" s="4" t="inlineStr">
        <is>
          <t>Identificar el contrato de entrada y salida.</t>
        </is>
      </c>
      <c r="C5" s="4" t="inlineStr">
        <is>
          <t>Pendiente</t>
        </is>
      </c>
      <c r="D5" s="4" t="inlineStr"/>
    </row>
    <row r="6">
      <c r="A6" s="4" t="n">
        <v>2</v>
      </c>
      <c r="B6" s="4" t="inlineStr">
        <is>
          <t>Conservar columnas originales antes de transformar.</t>
        </is>
      </c>
      <c r="C6" s="4" t="inlineStr">
        <is>
          <t>Pendiente</t>
        </is>
      </c>
      <c r="D6" s="4" t="inlineStr"/>
    </row>
    <row r="7">
      <c r="A7" s="4" t="n">
        <v>3</v>
      </c>
      <c r="B7" s="4" t="inlineStr">
        <is>
          <t>Crear la expresión o función M de la lección.</t>
        </is>
      </c>
      <c r="C7" s="4" t="inlineStr">
        <is>
          <t>Pendiente</t>
        </is>
      </c>
      <c r="D7" s="4" t="inlineStr"/>
    </row>
    <row r="8">
      <c r="A8" s="4" t="n">
        <v>4</v>
      </c>
      <c r="B8" s="4" t="inlineStr">
        <is>
          <t>Probar un caso válido, uno nulo y uno incompatible.</t>
        </is>
      </c>
      <c r="C8" s="4" t="inlineStr">
        <is>
          <t>Pendiente</t>
        </is>
      </c>
      <c r="D8" s="4" t="inlineStr"/>
    </row>
    <row r="9">
      <c r="A9" s="4" t="n">
        <v>5</v>
      </c>
      <c r="B9" s="4" t="inlineStr">
        <is>
          <t>Registrar estados y errores sin ocultarlos.</t>
        </is>
      </c>
      <c r="C9" s="4" t="inlineStr">
        <is>
          <t>Pendiente</t>
        </is>
      </c>
      <c r="D9" s="4" t="inlineStr"/>
    </row>
    <row r="10">
      <c r="A10" s="4" t="n">
        <v>6</v>
      </c>
      <c r="B10" s="4" t="inlineStr">
        <is>
          <t>Separar datos válidos y registros para revisión.</t>
        </is>
      </c>
      <c r="C10" s="4" t="inlineStr">
        <is>
          <t>Pendiente</t>
        </is>
      </c>
      <c r="D10" s="4" t="inlineStr"/>
    </row>
    <row r="11">
      <c r="A11" s="4" t="n">
        <v>7</v>
      </c>
      <c r="B11" s="4" t="inlineStr">
        <is>
          <t>Completar la conciliación y explicar cualquier diferencia.</t>
        </is>
      </c>
      <c r="C11" s="4" t="inlineStr">
        <is>
          <t>Pendiente</t>
        </is>
      </c>
      <c r="D11" s="4" t="inlineStr"/>
    </row>
    <row r="12">
      <c r="A12" s="4" t="n">
        <v>8</v>
      </c>
      <c r="B12" s="4" t="inlineStr">
        <is>
          <t>Documentar supuestos, parámetros y versión.</t>
        </is>
      </c>
      <c r="C12" s="4" t="inlineStr">
        <is>
          <t>Pendiente</t>
        </is>
      </c>
      <c r="D12" s="4" t="inlineStr"/>
    </row>
  </sheetData>
  <mergeCells count="2">
    <mergeCell ref="A2:H2"/>
    <mergeCell ref="A1:H1"/>
  </mergeCells>
  <dataValidations count="1">
    <dataValidation sqref="C5:C12" showDropDown="0" showInputMessage="0" showErrorMessage="0" allowBlank="1" type="list">
      <formula1>"Pendiente,En proceso,Completada"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3" customWidth="1" min="4" max="4"/>
    <col width="12" customWidth="1" min="5" max="5"/>
  </cols>
  <sheetData>
    <row r="1" ht="30" customHeight="1">
      <c r="A1" s="1" t="inlineStr">
        <is>
          <t>Matriz de casos de prueba</t>
        </is>
      </c>
    </row>
    <row r="2" ht="28" customHeight="1">
      <c r="A2" s="2" t="inlineStr">
        <is>
          <t>Incluye casos positivos, negativos, nulos y de límite</t>
        </is>
      </c>
    </row>
    <row r="4" ht="28" customHeight="1">
      <c r="A4" s="3" t="inlineStr">
        <is>
          <t>IdCaso</t>
        </is>
      </c>
      <c r="B4" s="3" t="inlineStr">
        <is>
          <t>Entrada / escenario</t>
        </is>
      </c>
      <c r="C4" s="3" t="inlineStr">
        <is>
          <t>Resultado esperado</t>
        </is>
      </c>
      <c r="D4" s="3" t="inlineStr">
        <is>
          <t>Tipo</t>
        </is>
      </c>
      <c r="E4" s="3" t="inlineStr">
        <is>
          <t>Resultado</t>
        </is>
      </c>
    </row>
    <row r="5">
      <c r="A5" s="4" t="inlineStr">
        <is>
          <t>C01</t>
        </is>
      </c>
      <c r="B5" s="4" t="inlineStr">
        <is>
          <t>Valor válido</t>
        </is>
      </c>
      <c r="C5" s="4" t="inlineStr">
        <is>
          <t>Resultado correcto</t>
        </is>
      </c>
      <c r="D5" s="4" t="inlineStr">
        <is>
          <t>POSITIVO</t>
        </is>
      </c>
      <c r="E5" s="4" t="inlineStr">
        <is>
          <t>Pendiente</t>
        </is>
      </c>
    </row>
    <row r="6">
      <c r="A6" s="4" t="inlineStr">
        <is>
          <t>C02</t>
        </is>
      </c>
      <c r="B6" s="4" t="inlineStr">
        <is>
          <t>Valor null</t>
        </is>
      </c>
      <c r="C6" s="4" t="inlineStr">
        <is>
          <t>Ausencia clasificada</t>
        </is>
      </c>
      <c r="D6" s="4" t="inlineStr">
        <is>
          <t>NULO</t>
        </is>
      </c>
      <c r="E6" s="4" t="inlineStr">
        <is>
          <t>Pendiente</t>
        </is>
      </c>
    </row>
    <row r="7">
      <c r="A7" s="4" t="inlineStr">
        <is>
          <t>C03</t>
        </is>
      </c>
      <c r="B7" s="4" t="inlineStr">
        <is>
          <t>Texto vacío</t>
        </is>
      </c>
      <c r="C7" s="4" t="inlineStr">
        <is>
          <t>Vacío clasificado</t>
        </is>
      </c>
      <c r="D7" s="4" t="inlineStr">
        <is>
          <t>LIMITE</t>
        </is>
      </c>
      <c r="E7" s="4" t="inlineStr">
        <is>
          <t>Pendiente</t>
        </is>
      </c>
    </row>
    <row r="8">
      <c r="A8" s="4" t="inlineStr">
        <is>
          <t>C04</t>
        </is>
      </c>
      <c r="B8" s="4" t="inlineStr">
        <is>
          <t>Valor incompatible</t>
        </is>
      </c>
      <c r="C8" s="4" t="inlineStr">
        <is>
          <t>Error controlado</t>
        </is>
      </c>
      <c r="D8" s="4" t="inlineStr">
        <is>
          <t>NEGATIVO</t>
        </is>
      </c>
      <c r="E8" s="4" t="inlineStr">
        <is>
          <t>Pendiente</t>
        </is>
      </c>
    </row>
    <row r="9">
      <c r="A9" s="4" t="inlineStr">
        <is>
          <t>C05</t>
        </is>
      </c>
      <c r="B9" s="4" t="inlineStr">
        <is>
          <t>Tabla vacía</t>
        </is>
      </c>
      <c r="C9" s="4" t="inlineStr">
        <is>
          <t>Esquema conservado</t>
        </is>
      </c>
      <c r="D9" s="4" t="inlineStr">
        <is>
          <t>ESTRUCTURAL</t>
        </is>
      </c>
      <c r="E9" s="4" t="inlineStr">
        <is>
          <t>Pendiente</t>
        </is>
      </c>
    </row>
    <row r="10">
      <c r="A10" s="4" t="inlineStr">
        <is>
          <t>C06</t>
        </is>
      </c>
      <c r="B10" s="4" t="inlineStr">
        <is>
          <t>Columna faltante</t>
        </is>
      </c>
      <c r="C10" s="4" t="inlineStr">
        <is>
          <t>Diagnóstico estructural</t>
        </is>
      </c>
      <c r="D10" s="4" t="inlineStr">
        <is>
          <t>ESTRUCTURAL</t>
        </is>
      </c>
      <c r="E10" s="4" t="inlineStr">
        <is>
          <t>Pendiente</t>
        </is>
      </c>
    </row>
    <row r="11">
      <c r="A11" s="4" t="inlineStr">
        <is>
          <t>C07</t>
        </is>
      </c>
      <c r="B11" s="4" t="inlineStr">
        <is>
          <t>Configuración inválida</t>
        </is>
      </c>
      <c r="C11" s="4" t="inlineStr">
        <is>
          <t>Rechazo esperado</t>
        </is>
      </c>
      <c r="D11" s="4" t="inlineStr">
        <is>
          <t>NEGATIVO</t>
        </is>
      </c>
      <c r="E11" s="4" t="inlineStr">
        <is>
          <t>Pendiente</t>
        </is>
      </c>
    </row>
    <row r="12">
      <c r="A12" s="4" t="inlineStr">
        <is>
          <t>C08</t>
        </is>
      </c>
      <c r="B12" s="4" t="inlineStr">
        <is>
          <t>Regresión</t>
        </is>
      </c>
      <c r="C12" s="4" t="inlineStr">
        <is>
          <t>Diferencia no autorizada = 0</t>
        </is>
      </c>
      <c r="D12" s="4" t="inlineStr">
        <is>
          <t>REGRESION</t>
        </is>
      </c>
      <c r="E12" s="4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0" customHeight="1">
      <c r="A1" s="1" t="inlineStr">
        <is>
          <t>Control de conciliación</t>
        </is>
      </c>
    </row>
    <row r="2" ht="28" customHeight="1">
      <c r="A2" s="2" t="inlineStr">
        <is>
          <t>Complete los valores azules; las diferencias se calculan automáticamente</t>
        </is>
      </c>
    </row>
    <row r="4" ht="28" customHeight="1">
      <c r="A4" s="9" t="inlineStr">
        <is>
          <t>Indicador</t>
        </is>
      </c>
      <c r="B4" s="9" t="inlineStr">
        <is>
          <t>Valor</t>
        </is>
      </c>
    </row>
    <row r="5">
      <c r="A5" t="inlineStr">
        <is>
          <t>Filas recibidas</t>
        </is>
      </c>
      <c r="B5" s="10" t="n">
        <v>36</v>
      </c>
    </row>
    <row r="6">
      <c r="A6" t="inlineStr">
        <is>
          <t>Filas válidas</t>
        </is>
      </c>
      <c r="B6" s="10" t="n">
        <v>0</v>
      </c>
    </row>
    <row r="7">
      <c r="A7" t="inlineStr">
        <is>
          <t>Filas para revisión</t>
        </is>
      </c>
      <c r="B7" s="10" t="n">
        <v>0</v>
      </c>
    </row>
    <row r="8">
      <c r="A8" t="inlineStr">
        <is>
          <t>Filas explicadas</t>
        </is>
      </c>
      <c r="B8" s="11">
        <f>B6+B7</f>
        <v/>
      </c>
    </row>
    <row r="9">
      <c r="A9" t="inlineStr">
        <is>
          <t>Diferencia sin explicar</t>
        </is>
      </c>
      <c r="B9" s="12">
        <f>B5-B8</f>
        <v/>
      </c>
    </row>
    <row r="10">
      <c r="A10" t="inlineStr"/>
      <c r="B10" s="11" t="inlineStr"/>
    </row>
    <row r="11">
      <c r="A11" t="inlineStr">
        <is>
          <t>Casos definidos</t>
        </is>
      </c>
      <c r="B11" s="10" t="n">
        <v>8</v>
      </c>
    </row>
    <row r="12">
      <c r="A12" t="inlineStr">
        <is>
          <t>Casos aprobados</t>
        </is>
      </c>
      <c r="B12" s="10" t="n">
        <v>0</v>
      </c>
    </row>
    <row r="13">
      <c r="A13" t="inlineStr">
        <is>
          <t>Casos fallidos</t>
        </is>
      </c>
      <c r="B13" s="10" t="n">
        <v>0</v>
      </c>
    </row>
    <row r="14">
      <c r="A14" t="inlineStr">
        <is>
          <t>Casos no ejecutados</t>
        </is>
      </c>
      <c r="B14" s="11">
        <f>B11-B12-B13</f>
        <v/>
      </c>
    </row>
    <row r="15">
      <c r="A15" t="inlineStr">
        <is>
          <t>Diferencia de pruebas</t>
        </is>
      </c>
      <c r="B15" s="12">
        <f>B11-B12-B13-B14</f>
        <v/>
      </c>
    </row>
  </sheetData>
  <mergeCells count="2">
    <mergeCell ref="A2:H2"/>
    <mergeCell ref="A1:H1"/>
  </mergeCells>
  <conditionalFormatting sqref="B9">
    <cfRule type="cellIs" priority="1" operator="equal" dxfId="0">
      <formula>0</formula>
    </cfRule>
  </conditionalFormatting>
  <conditionalFormatting sqref="B15">
    <cfRule type="cellIs" priority="2" operator="equal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12" customWidth="1" min="4" max="4"/>
  </cols>
  <sheetData>
    <row r="1" ht="30" customHeight="1">
      <c r="A1" s="1" t="inlineStr">
        <is>
          <t>Evaluación de la lección</t>
        </is>
      </c>
    </row>
    <row r="2" ht="28" customHeight="1">
      <c r="A2" s="2" t="inlineStr">
        <is>
          <t>Funciones de orden superior y composicion avanzada</t>
        </is>
      </c>
    </row>
    <row r="4" ht="28" customHeight="1">
      <c r="A4" s="3" t="inlineStr">
        <is>
          <t>Id</t>
        </is>
      </c>
      <c r="B4" s="3" t="inlineStr">
        <is>
          <t>Pregunta / evidencia</t>
        </is>
      </c>
      <c r="C4" s="3" t="inlineStr">
        <is>
          <t>Tipo</t>
        </is>
      </c>
      <c r="D4" s="3" t="inlineStr">
        <is>
          <t>Puntos</t>
        </is>
      </c>
      <c r="F4" s="5" t="inlineStr">
        <is>
          <t>Calificación</t>
        </is>
      </c>
    </row>
    <row r="5">
      <c r="A5" s="4" t="inlineStr">
        <is>
          <t>P01</t>
        </is>
      </c>
      <c r="B5" s="4" t="inlineStr">
        <is>
          <t>Explique el propósito central de Funciones de orden superior y composicion avanzada.</t>
        </is>
      </c>
      <c r="C5" s="4" t="inlineStr">
        <is>
          <t>Respuesta abierta</t>
        </is>
      </c>
      <c r="D5" s="4" t="n">
        <v>10</v>
      </c>
      <c r="F5" t="inlineStr">
        <is>
          <t>Puntos obtenidos</t>
        </is>
      </c>
      <c r="G5" s="10" t="n">
        <v>0</v>
      </c>
    </row>
    <row r="6">
      <c r="A6" s="4" t="inlineStr">
        <is>
          <t>P02</t>
        </is>
      </c>
      <c r="B6" s="4" t="inlineStr">
        <is>
          <t>Diferencie valor original y valor preparado.</t>
        </is>
      </c>
      <c r="C6" s="4" t="inlineStr">
        <is>
          <t>Respuesta abierta</t>
        </is>
      </c>
      <c r="D6" s="4" t="n">
        <v>10</v>
      </c>
      <c r="F6" t="inlineStr">
        <is>
          <t>Porcentaje</t>
        </is>
      </c>
      <c r="G6" s="13">
        <f>G5/100</f>
        <v/>
      </c>
    </row>
    <row r="7">
      <c r="A7" s="4" t="inlineStr">
        <is>
          <t>P03</t>
        </is>
      </c>
      <c r="B7" s="4" t="inlineStr">
        <is>
          <t>Explique cómo debe tratarse null.</t>
        </is>
      </c>
      <c r="C7" s="4" t="inlineStr">
        <is>
          <t>Respuesta abierta</t>
        </is>
      </c>
      <c r="D7" s="4" t="n">
        <v>10</v>
      </c>
      <c r="F7" t="inlineStr">
        <is>
          <t>Resultado</t>
        </is>
      </c>
      <c r="G7">
        <f>IF(G6&gt;=80%,"APROBADO","REQUIERE REFUERZO")</f>
        <v/>
      </c>
    </row>
    <row r="8">
      <c r="A8" s="4" t="inlineStr">
        <is>
          <t>P04</t>
        </is>
      </c>
      <c r="B8" s="4" t="inlineStr">
        <is>
          <t>Construya o adapte el fragmento M solicitado.</t>
        </is>
      </c>
      <c r="C8" s="4" t="inlineStr">
        <is>
          <t>Código M</t>
        </is>
      </c>
      <c r="D8" s="4" t="n">
        <v>25</v>
      </c>
    </row>
    <row r="9">
      <c r="A9" s="4" t="inlineStr">
        <is>
          <t>P05</t>
        </is>
      </c>
      <c r="B9" s="4" t="inlineStr">
        <is>
          <t>Demuestre un caso positivo y uno negativo.</t>
        </is>
      </c>
      <c r="C9" s="4" t="inlineStr">
        <is>
          <t>Evidencia</t>
        </is>
      </c>
      <c r="D9" s="4" t="n">
        <v>15</v>
      </c>
    </row>
    <row r="10">
      <c r="A10" s="4" t="inlineStr">
        <is>
          <t>P06</t>
        </is>
      </c>
      <c r="B10" s="4" t="inlineStr">
        <is>
          <t>Complete la conciliación.</t>
        </is>
      </c>
      <c r="C10" s="4" t="inlineStr">
        <is>
          <t>Control</t>
        </is>
      </c>
      <c r="D10" s="4" t="n">
        <v>15</v>
      </c>
    </row>
    <row r="11">
      <c r="A11" s="4" t="inlineStr">
        <is>
          <t>P07</t>
        </is>
      </c>
      <c r="B11" s="4" t="inlineStr">
        <is>
          <t>Documente contrato, versión y supuestos.</t>
        </is>
      </c>
      <c r="C11" s="4" t="inlineStr">
        <is>
          <t>Documentación</t>
        </is>
      </c>
      <c r="D11" s="4" t="n">
        <v>15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1" t="inlineStr">
        <is>
          <t>Solucionario del instructor</t>
        </is>
      </c>
    </row>
    <row r="2" ht="28" customHeight="1">
      <c r="A2" s="2" t="inlineStr">
        <is>
          <t>Referencia para revisión posterior a la práctica</t>
        </is>
      </c>
    </row>
    <row r="4" ht="28" customHeight="1">
      <c r="A4" s="3" t="inlineStr">
        <is>
          <t>Elemento</t>
        </is>
      </c>
      <c r="B4" s="3" t="inlineStr">
        <is>
          <t>Respuesta esperada</t>
        </is>
      </c>
    </row>
    <row r="5">
      <c r="A5" s="4" t="inlineStr">
        <is>
          <t>Contrato</t>
        </is>
      </c>
      <c r="B5" s="4" t="inlineStr">
        <is>
          <t>La entrada, salida, tipos, nulabilidad, errores y granularidad deben quedar explícitos.</t>
        </is>
      </c>
    </row>
    <row r="6">
      <c r="A6" s="4" t="inlineStr">
        <is>
          <t>Trazabilidad</t>
        </is>
      </c>
      <c r="B6" s="4" t="inlineStr">
        <is>
          <t>Conservar valor original, valor preparado, estado y detalle de error.</t>
        </is>
      </c>
    </row>
    <row r="7">
      <c r="A7" s="4" t="inlineStr">
        <is>
          <t>Null</t>
        </is>
      </c>
      <c r="B7" s="4" t="inlineStr">
        <is>
          <t>No equivale a cero, vacío ni error. Debe clasificarse según el contrato.</t>
        </is>
      </c>
    </row>
    <row r="8">
      <c r="A8" s="4" t="inlineStr">
        <is>
          <t>Casos</t>
        </is>
      </c>
      <c r="B8" s="4" t="inlineStr">
        <is>
          <t>Incluir al menos uno positivo, negativo, nulo, límite y estructural.</t>
        </is>
      </c>
    </row>
    <row r="9">
      <c r="A9" s="4" t="inlineStr">
        <is>
          <t>Conciliación</t>
        </is>
      </c>
      <c r="B9" s="4" t="inlineStr">
        <is>
          <t>Filas recibidas = filas válidas + filas para revisión. Diferencia = 0.</t>
        </is>
      </c>
    </row>
    <row r="10">
      <c r="A10" s="4" t="inlineStr">
        <is>
          <t>Versión</t>
        </is>
      </c>
      <c r="B10" s="4" t="inlineStr">
        <is>
          <t>Toda función o consulta liberada debe indicar versión y estado.</t>
        </is>
      </c>
    </row>
    <row r="11">
      <c r="A11" s="4" t="inlineStr">
        <is>
          <t>Código M de referencia</t>
        </is>
      </c>
      <c r="B11" s="4" t="inlineStr">
        <is>
          <t>let
    Funciones = {Text.Clean, Text.Trim, Text.Upper},
    Resultado = List.Accumulate(Funciones, " a01#(lf) ", (estado, funcion) =&gt; funcion(estado))
in
    Resultado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 ht="30" customHeight="1">
      <c r="A1" s="1" t="inlineStr">
        <is>
          <t>Código M de referencia</t>
        </is>
      </c>
    </row>
    <row r="2" ht="28" customHeight="1">
      <c r="A2" s="2" t="inlineStr">
        <is>
          <t>Copiar al Editor avanzado y adaptar nombres de tablas o parámetros</t>
        </is>
      </c>
    </row>
    <row r="4" ht="240" customHeight="1">
      <c r="A4" s="14" t="inlineStr">
        <is>
          <t>let
    Funciones = {Text.Clean, Text.Trim, Text.Upper},
    Resultado = List.Accumulate(Funciones, " a01#(lf) ", (estado, funcion) =&gt; funcion(estado))
in
   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Sergio Moreno Banda</dc:creator>
  <dc:title xmlns:dc="http://purl.org/dc/elements/1.1/">M08 L16 Funciones de orden superior y composicion avanzada</dc:title>
  <dc:description xmlns:dc="http://purl.org/dc/elements/1.1/">Material de práctica con datos sintéticos, actividades, evaluación y solucionario.</dc:description>
  <dc:subject xmlns:dc="http://purl.org/dc/elements/1.1/">Power Query M</dc:subject>
  <dcterms:created xmlns:dcterms="http://purl.org/dc/terms/" xmlns:xsi="http://www.w3.org/2001/XMLSchema-instance" xsi:type="dcterms:W3CDTF">2026-08-30T20:57:28Z</dcterms:created>
  <dcterms:modified xmlns:dcterms="http://purl.org/dc/terms/" xmlns:xsi="http://www.w3.org/2001/XMLSchema-instance" xsi:type="dcterms:W3CDTF">2026-08-30T20:57:28Z</dcterms:modified>
</cp:coreProperties>
</file>