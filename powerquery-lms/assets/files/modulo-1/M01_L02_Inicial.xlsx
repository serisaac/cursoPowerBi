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Original" sheetId="2" state="visible" r:id="rId2"/>
    <sheet xmlns:r="http://schemas.openxmlformats.org/officeDocument/2006/relationships" name="Trabajo" sheetId="3" state="visible" r:id="rId3"/>
    <sheet xmlns:r="http://schemas.openxmlformats.org/officeDocument/2006/relationships" name="Control" sheetId="4" state="visible" r:id="rId4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$#,##0.00;[Red]($#,##0.00);-"/>
    <numFmt numFmtId="165" formatCode="$#,##0.00"/>
    <numFmt numFmtId="166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44546A"/>
      <sz val="11"/>
    </font>
    <font>
      <b val="1"/>
      <color rgb="00FFFFFF"/>
    </font>
    <font>
      <color rgb="000000FF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E4DFEC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wrapText="1"/>
    </xf>
    <xf numFmtId="0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64" fontId="5" fillId="0" borderId="0" pivotButton="0" quotePrefix="0" xfId="0"/>
    <xf numFmtId="0" fontId="3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ablaOriginal" displayName="TablaOriginal" ref="A4:L34" headerRowCount="1">
  <autoFilter ref="A4:L34"/>
  <tableColumns count="12">
    <tableColumn id="1" name="Folio"/>
    <tableColumn id="2" name="Fecha"/>
    <tableColumn id="3" name="Region"/>
    <tableColumn id="4" name="SKU"/>
    <tableColumn id="5" name="Producto"/>
    <tableColumn id="6" name="Cantidad"/>
    <tableColumn id="7" name="Precio"/>
    <tableColumn id="8" name="Descuento"/>
    <tableColumn id="9" name="Estatus"/>
    <tableColumn id="10" name="Observaciones"/>
    <tableColumn id="11" name="Importe"/>
    <tableColumn id="12" name="Control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ablaTrabajo" displayName="TablaTrabajo" ref="A4:L34" headerRowCount="1">
  <autoFilter ref="A4:L34"/>
  <tableColumns count="12">
    <tableColumn id="1" name="Folio"/>
    <tableColumn id="2" name="Fecha"/>
    <tableColumn id="3" name="Region"/>
    <tableColumn id="4" name="SKU"/>
    <tableColumn id="5" name="Producto"/>
    <tableColumn id="6" name="Cantidad"/>
    <tableColumn id="7" name="Precio"/>
    <tableColumn id="8" name="Descuento"/>
    <tableColumn id="9" name="Estatus"/>
    <tableColumn id="10" name="Observaciones"/>
    <tableColumn id="11" name="Importe"/>
    <tableColumn id="12" name="Control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90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EPEABI Nivel 1 - Modulo 1 - Leccion 02</t>
        </is>
      </c>
    </row>
    <row r="2">
      <c r="A2" s="2" t="inlineStr">
        <is>
          <t>Interfaz, cinta y barra de acceso rapido</t>
        </is>
      </c>
    </row>
    <row r="4">
      <c r="A4" s="3" t="inlineStr">
        <is>
          <t>Instrucciones</t>
        </is>
      </c>
    </row>
    <row r="5">
      <c r="A5" t="n">
        <v>1</v>
      </c>
      <c r="B5" s="4" t="inlineStr">
        <is>
          <t>Trabaje sobre una copia y conserve intacta la evidencia original.</t>
        </is>
      </c>
    </row>
    <row r="6">
      <c r="A6" t="n">
        <v>2</v>
      </c>
      <c r="B6" s="4" t="inlineStr">
        <is>
          <t>Complete las tareas indicadas en la leccion y registre sus resultados en la hoja Control.</t>
        </is>
      </c>
    </row>
    <row r="7">
      <c r="A7" t="n">
        <v>3</v>
      </c>
      <c r="B7" s="4" t="inlineStr">
        <is>
          <t>Revise datos, formatos y formulas antes de guardar.</t>
        </is>
      </c>
    </row>
    <row r="8">
      <c r="A8" t="n">
        <v>4</v>
      </c>
      <c r="B8" s="4" t="inlineStr">
        <is>
          <t>No elimine anomalías sin documentar su causa y la corrección aplicada.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0" customWidth="1" min="4" max="4"/>
    <col width="18" customWidth="1" min="5" max="5"/>
    <col width="11" customWidth="1" min="6" max="6"/>
    <col width="13" customWidth="1" min="7" max="7"/>
    <col width="12" customWidth="1" min="8" max="8"/>
    <col width="15" customWidth="1" min="9" max="9"/>
    <col width="24" customWidth="1" min="10" max="10"/>
    <col width="16" customWidth="1" min="11" max="11"/>
    <col width="12" customWidth="1" min="12" max="12"/>
  </cols>
  <sheetData>
    <row r="1" ht="28" customHeight="1">
      <c r="A1" s="1" t="inlineStr">
        <is>
          <t>Base de operaciones comerciales</t>
        </is>
      </c>
    </row>
    <row r="2">
      <c r="A2" s="2" t="inlineStr">
        <is>
          <t>Una fila representa una operacion; una columna representa una variable.</t>
        </is>
      </c>
    </row>
    <row r="4">
      <c r="A4" s="5" t="inlineStr">
        <is>
          <t>Folio</t>
        </is>
      </c>
      <c r="B4" s="5" t="inlineStr">
        <is>
          <t>Fecha</t>
        </is>
      </c>
      <c r="C4" s="5" t="inlineStr">
        <is>
          <t>Region</t>
        </is>
      </c>
      <c r="D4" s="5" t="inlineStr">
        <is>
          <t>SKU</t>
        </is>
      </c>
      <c r="E4" s="5" t="inlineStr">
        <is>
          <t>Producto</t>
        </is>
      </c>
      <c r="F4" s="5" t="inlineStr">
        <is>
          <t>Cantidad</t>
        </is>
      </c>
      <c r="G4" s="5" t="inlineStr">
        <is>
          <t>Precio</t>
        </is>
      </c>
      <c r="H4" s="5" t="inlineStr">
        <is>
          <t>Descuento</t>
        </is>
      </c>
      <c r="I4" s="5" t="inlineStr">
        <is>
          <t>Estatus</t>
        </is>
      </c>
      <c r="J4" s="5" t="inlineStr">
        <is>
          <t>Observaciones</t>
        </is>
      </c>
      <c r="K4" s="5" t="inlineStr">
        <is>
          <t>Importe</t>
        </is>
      </c>
      <c r="L4" s="5" t="inlineStr">
        <is>
          <t>Control</t>
        </is>
      </c>
    </row>
    <row r="5">
      <c r="A5" t="inlineStr">
        <is>
          <t>V-2026-0001</t>
        </is>
      </c>
      <c r="B5" t="inlineStr">
        <is>
          <t>2026-08-01</t>
        </is>
      </c>
      <c r="C5" t="inlineStr">
        <is>
          <t>Centro</t>
        </is>
      </c>
      <c r="D5" t="inlineStr">
        <is>
          <t>0001</t>
        </is>
      </c>
      <c r="E5" t="inlineStr">
        <is>
          <t>Monitor</t>
        </is>
      </c>
      <c r="F5" s="6" t="n">
        <v>9</v>
      </c>
      <c r="G5" s="7" t="n">
        <v>3500</v>
      </c>
      <c r="H5" s="8" t="n">
        <v>0.05</v>
      </c>
      <c r="I5" t="inlineStr">
        <is>
          <t>En revision</t>
        </is>
      </c>
      <c r="J5" t="inlineStr">
        <is>
          <t>Registro 1</t>
        </is>
      </c>
      <c r="K5" s="9">
        <f>F5*G5*(1-H5)</f>
        <v/>
      </c>
      <c r="L5">
        <f>IF(A5="","Error","OK")</f>
        <v/>
      </c>
    </row>
    <row r="6">
      <c r="A6" t="inlineStr">
        <is>
          <t>V-2026-0002</t>
        </is>
      </c>
      <c r="B6" t="inlineStr">
        <is>
          <t>2026-08-02</t>
        </is>
      </c>
      <c r="C6" t="inlineStr">
        <is>
          <t>Sur</t>
        </is>
      </c>
      <c r="D6" t="inlineStr">
        <is>
          <t>0002</t>
        </is>
      </c>
      <c r="E6" t="inlineStr">
        <is>
          <t>Teclado</t>
        </is>
      </c>
      <c r="F6" s="6" t="n">
        <v>15</v>
      </c>
      <c r="G6" s="7" t="n">
        <v>850</v>
      </c>
      <c r="H6" s="8" t="n">
        <v>0.1</v>
      </c>
      <c r="I6" t="inlineStr">
        <is>
          <t>Aprobado</t>
        </is>
      </c>
      <c r="J6" t="inlineStr">
        <is>
          <t>Registro 2</t>
        </is>
      </c>
      <c r="K6" s="9">
        <f>F6*G6*(1-H6)</f>
        <v/>
      </c>
      <c r="L6">
        <f>IF(A6="","Error","OK")</f>
        <v/>
      </c>
    </row>
    <row r="7">
      <c r="A7" t="inlineStr">
        <is>
          <t>V-2026-0003</t>
        </is>
      </c>
      <c r="B7" t="inlineStr">
        <is>
          <t>2026-08-03</t>
        </is>
      </c>
      <c r="C7" t="inlineStr">
        <is>
          <t>Pacifico</t>
        </is>
      </c>
      <c r="D7" t="inlineStr">
        <is>
          <t>0003</t>
        </is>
      </c>
      <c r="E7" t="inlineStr">
        <is>
          <t>Mouse</t>
        </is>
      </c>
      <c r="F7" s="6" t="n">
        <v>3</v>
      </c>
      <c r="G7" s="7" t="n">
        <v>450</v>
      </c>
      <c r="H7" s="8" t="n">
        <v>0.15</v>
      </c>
      <c r="I7" t="inlineStr">
        <is>
          <t>Pendiente</t>
        </is>
      </c>
      <c r="J7" t="inlineStr">
        <is>
          <t>Registro 3</t>
        </is>
      </c>
      <c r="K7" s="9">
        <f>F7*G7*(1-H7)</f>
        <v/>
      </c>
      <c r="L7">
        <f>IF(A7="","Error","OK")</f>
        <v/>
      </c>
    </row>
    <row r="8">
      <c r="A8" t="inlineStr">
        <is>
          <t>V-2026-0004</t>
        </is>
      </c>
      <c r="B8" t="inlineStr">
        <is>
          <t>2026-08-04</t>
        </is>
      </c>
      <c r="C8" t="inlineStr">
        <is>
          <t>Norte</t>
        </is>
      </c>
      <c r="D8" t="inlineStr">
        <is>
          <t>0004</t>
        </is>
      </c>
      <c r="E8" t="inlineStr">
        <is>
          <t>Laptop</t>
        </is>
      </c>
      <c r="F8" s="6" t="n">
        <v>18</v>
      </c>
      <c r="G8" s="7" t="n">
        <v>15500</v>
      </c>
      <c r="H8" s="8" t="n">
        <v>0</v>
      </c>
      <c r="I8" t="inlineStr">
        <is>
          <t>En revision</t>
        </is>
      </c>
      <c r="J8" t="inlineStr">
        <is>
          <t>Registro 4</t>
        </is>
      </c>
      <c r="K8" s="9">
        <f>F8*G8*(1-H8)</f>
        <v/>
      </c>
      <c r="L8">
        <f>IF(A8="","Error","OK")</f>
        <v/>
      </c>
    </row>
    <row r="9">
      <c r="A9" t="inlineStr">
        <is>
          <t>V-2026-0005</t>
        </is>
      </c>
      <c r="B9" t="inlineStr">
        <is>
          <t>2026-08-05</t>
        </is>
      </c>
      <c r="C9" t="inlineStr">
        <is>
          <t>Centro</t>
        </is>
      </c>
      <c r="D9" t="inlineStr">
        <is>
          <t>0001</t>
        </is>
      </c>
      <c r="E9" t="inlineStr">
        <is>
          <t>Monitor</t>
        </is>
      </c>
      <c r="F9" s="6" t="n">
        <v>11</v>
      </c>
      <c r="G9" s="7" t="n">
        <v>3500</v>
      </c>
      <c r="H9" s="8" t="n">
        <v>0.05</v>
      </c>
      <c r="I9" t="inlineStr">
        <is>
          <t>Aprobado</t>
        </is>
      </c>
      <c r="J9" t="inlineStr">
        <is>
          <t>Registro 5</t>
        </is>
      </c>
      <c r="K9" s="9">
        <f>F9*G9*(1-H9)</f>
        <v/>
      </c>
      <c r="L9">
        <f>IF(A9="","Error","OK")</f>
        <v/>
      </c>
    </row>
    <row r="10">
      <c r="A10" t="inlineStr">
        <is>
          <t>V-2026-0006</t>
        </is>
      </c>
      <c r="B10" t="inlineStr">
        <is>
          <t>2026-08-06</t>
        </is>
      </c>
      <c r="C10" t="inlineStr">
        <is>
          <t>Sur</t>
        </is>
      </c>
      <c r="D10" t="inlineStr">
        <is>
          <t>0002</t>
        </is>
      </c>
      <c r="E10" t="inlineStr">
        <is>
          <t>Teclado</t>
        </is>
      </c>
      <c r="F10" s="6" t="n">
        <v>19</v>
      </c>
      <c r="G10" s="7" t="n">
        <v>850</v>
      </c>
      <c r="H10" s="8" t="n">
        <v>0.1</v>
      </c>
      <c r="I10" t="inlineStr">
        <is>
          <t>Pendiente</t>
        </is>
      </c>
      <c r="J10" t="inlineStr">
        <is>
          <t>Registro 6</t>
        </is>
      </c>
      <c r="K10" s="9">
        <f>F10*G10*(1-H10)</f>
        <v/>
      </c>
      <c r="L10">
        <f>IF(A10="","Error","OK")</f>
        <v/>
      </c>
    </row>
    <row r="11">
      <c r="A11" t="inlineStr">
        <is>
          <t>V-2026-0006</t>
        </is>
      </c>
      <c r="B11" t="inlineStr">
        <is>
          <t>2026-08-07</t>
        </is>
      </c>
      <c r="C11" t="inlineStr">
        <is>
          <t>Pacifico</t>
        </is>
      </c>
      <c r="D11" t="inlineStr">
        <is>
          <t>0003</t>
        </is>
      </c>
      <c r="E11" t="inlineStr">
        <is>
          <t>Mouse</t>
        </is>
      </c>
      <c r="F11" s="6" t="n">
        <v>3</v>
      </c>
      <c r="G11" s="7" t="n">
        <v>450</v>
      </c>
      <c r="H11" s="8" t="n">
        <v>0.15</v>
      </c>
      <c r="I11" t="inlineStr">
        <is>
          <t>En revision</t>
        </is>
      </c>
      <c r="J11" t="inlineStr">
        <is>
          <t>Registro 7</t>
        </is>
      </c>
      <c r="K11" s="9">
        <f>F11*G11*(1-H11)</f>
        <v/>
      </c>
      <c r="L11">
        <f>IF(A11="","Error","OK")</f>
        <v/>
      </c>
    </row>
    <row r="12">
      <c r="A12" t="inlineStr">
        <is>
          <t>V-2026-0008</t>
        </is>
      </c>
      <c r="B12" t="inlineStr">
        <is>
          <t>2026-08-08</t>
        </is>
      </c>
      <c r="C12" t="inlineStr">
        <is>
          <t>Norte</t>
        </is>
      </c>
      <c r="D12" t="inlineStr">
        <is>
          <t>0004</t>
        </is>
      </c>
      <c r="E12" t="inlineStr">
        <is>
          <t>Laptop</t>
        </is>
      </c>
      <c r="F12" s="6" t="n">
        <v>19</v>
      </c>
      <c r="G12" s="7" t="n">
        <v>15500</v>
      </c>
      <c r="H12" s="8" t="n">
        <v>0</v>
      </c>
      <c r="I12" t="inlineStr">
        <is>
          <t>Aprobado</t>
        </is>
      </c>
      <c r="J12" t="inlineStr">
        <is>
          <t>Registro 8</t>
        </is>
      </c>
      <c r="K12" s="9">
        <f>F12*G12*(1-H12)</f>
        <v/>
      </c>
      <c r="L12">
        <f>IF(A12="","Error","OK")</f>
        <v/>
      </c>
    </row>
    <row r="13">
      <c r="A13" t="inlineStr">
        <is>
          <t>V-2026-0009</t>
        </is>
      </c>
      <c r="B13" t="inlineStr">
        <is>
          <t>2026-08-09</t>
        </is>
      </c>
      <c r="C13" t="inlineStr">
        <is>
          <t>Centro</t>
        </is>
      </c>
      <c r="D13" t="inlineStr">
        <is>
          <t>0001</t>
        </is>
      </c>
      <c r="E13" t="inlineStr">
        <is>
          <t>Monitor</t>
        </is>
      </c>
      <c r="F13" s="6" t="n">
        <v>9</v>
      </c>
      <c r="G13" s="7" t="n">
        <v>3500</v>
      </c>
      <c r="H13" s="8" t="n">
        <v>0.05</v>
      </c>
      <c r="I13" t="inlineStr">
        <is>
          <t>Pendiente</t>
        </is>
      </c>
      <c r="J13" t="inlineStr">
        <is>
          <t>Registro 9</t>
        </is>
      </c>
      <c r="K13" s="9">
        <f>F13*G13*(1-H13)</f>
        <v/>
      </c>
      <c r="L13">
        <f>IF(A13="","Error","OK")</f>
        <v/>
      </c>
    </row>
    <row r="14">
      <c r="A14" t="inlineStr">
        <is>
          <t>V-2026-0010</t>
        </is>
      </c>
      <c r="B14" t="inlineStr">
        <is>
          <t>2026-08-10</t>
        </is>
      </c>
      <c r="C14" t="inlineStr">
        <is>
          <t>Sur</t>
        </is>
      </c>
      <c r="D14" t="inlineStr">
        <is>
          <t>0002</t>
        </is>
      </c>
      <c r="E14" t="inlineStr">
        <is>
          <t>Teclado</t>
        </is>
      </c>
      <c r="F14" s="6" t="n">
        <v>17</v>
      </c>
      <c r="G14" s="7" t="n">
        <v>850</v>
      </c>
      <c r="H14" s="8" t="n">
        <v>0.1</v>
      </c>
      <c r="I14" t="inlineStr">
        <is>
          <t>En revision</t>
        </is>
      </c>
      <c r="J14" t="inlineStr">
        <is>
          <t>Registro 10</t>
        </is>
      </c>
      <c r="K14" s="9">
        <f>F14*G14*(1-H14)</f>
        <v/>
      </c>
      <c r="L14">
        <f>IF(A14="","Error","OK")</f>
        <v/>
      </c>
    </row>
    <row r="15">
      <c r="A15" t="inlineStr">
        <is>
          <t>V-2026-0011</t>
        </is>
      </c>
      <c r="B15" t="inlineStr">
        <is>
          <t>15/08/26 texto</t>
        </is>
      </c>
      <c r="C15" t="inlineStr">
        <is>
          <t>Pacifico</t>
        </is>
      </c>
      <c r="D15" t="inlineStr">
        <is>
          <t>0003</t>
        </is>
      </c>
      <c r="E15" t="inlineStr">
        <is>
          <t>Mouse</t>
        </is>
      </c>
      <c r="F15" s="6" t="n">
        <v>7</v>
      </c>
      <c r="G15" s="7" t="n">
        <v>450</v>
      </c>
      <c r="H15" s="8" t="n">
        <v>0.15</v>
      </c>
      <c r="I15" t="inlineStr">
        <is>
          <t>Aprobado</t>
        </is>
      </c>
      <c r="J15" t="inlineStr">
        <is>
          <t>Registro 11</t>
        </is>
      </c>
      <c r="K15" s="9">
        <f>F15*G15*(1-H15)</f>
        <v/>
      </c>
      <c r="L15">
        <f>IF(A15="","Error","OK")</f>
        <v/>
      </c>
    </row>
    <row r="16">
      <c r="A16" t="inlineStr">
        <is>
          <t>V-2026-0012</t>
        </is>
      </c>
      <c r="B16" t="inlineStr">
        <is>
          <t>2026-08-12</t>
        </is>
      </c>
      <c r="C16" t="inlineStr">
        <is>
          <t>Norte</t>
        </is>
      </c>
      <c r="D16" t="inlineStr">
        <is>
          <t>0004</t>
        </is>
      </c>
      <c r="E16" t="inlineStr">
        <is>
          <t>Laptop</t>
        </is>
      </c>
      <c r="F16" s="6" t="n">
        <v>18</v>
      </c>
      <c r="G16" s="7" t="n">
        <v>15500</v>
      </c>
      <c r="H16" s="8" t="n">
        <v>0</v>
      </c>
      <c r="I16" t="inlineStr">
        <is>
          <t>Pendiente</t>
        </is>
      </c>
      <c r="J16" t="inlineStr">
        <is>
          <t>Registro 12</t>
        </is>
      </c>
      <c r="K16" s="9">
        <f>F16*G16*(1-H16)</f>
        <v/>
      </c>
      <c r="L16">
        <f>IF(A16="","Error","OK")</f>
        <v/>
      </c>
    </row>
    <row r="17">
      <c r="A17" t="inlineStr">
        <is>
          <t>V-2026-0013</t>
        </is>
      </c>
      <c r="B17" t="inlineStr">
        <is>
          <t>2026-08-13</t>
        </is>
      </c>
      <c r="C17" t="inlineStr">
        <is>
          <t>Centro</t>
        </is>
      </c>
      <c r="D17" t="inlineStr">
        <is>
          <t>0001</t>
        </is>
      </c>
      <c r="E17" t="inlineStr">
        <is>
          <t>Monitor</t>
        </is>
      </c>
      <c r="F17" s="6" t="n">
        <v>9</v>
      </c>
      <c r="G17" s="7" t="n">
        <v>3500</v>
      </c>
      <c r="H17" s="8" t="n">
        <v>0.05</v>
      </c>
      <c r="I17" t="inlineStr">
        <is>
          <t>En revision</t>
        </is>
      </c>
      <c r="J17" t="inlineStr">
        <is>
          <t>Registro 13</t>
        </is>
      </c>
      <c r="K17" s="9" t="n">
        <v>9999</v>
      </c>
      <c r="L17">
        <f>IF(A17="","Error","OK")</f>
        <v/>
      </c>
    </row>
    <row r="18">
      <c r="A18" t="inlineStr">
        <is>
          <t>V-2026-0014</t>
        </is>
      </c>
      <c r="B18" t="inlineStr">
        <is>
          <t>2026-08-14</t>
        </is>
      </c>
      <c r="C18" t="inlineStr">
        <is>
          <t>Sur</t>
        </is>
      </c>
      <c r="D18" t="inlineStr">
        <is>
          <t>0002</t>
        </is>
      </c>
      <c r="E18" t="inlineStr">
        <is>
          <t>Teclado</t>
        </is>
      </c>
      <c r="F18" s="6" t="n">
        <v>11</v>
      </c>
      <c r="G18" s="7" t="n">
        <v>850</v>
      </c>
      <c r="H18" s="8" t="n">
        <v>0.1</v>
      </c>
      <c r="I18" t="inlineStr">
        <is>
          <t>Aprobado</t>
        </is>
      </c>
      <c r="J18" t="inlineStr">
        <is>
          <t>Registro 14</t>
        </is>
      </c>
      <c r="K18" s="9">
        <f>F18*G18*(1-H18)</f>
        <v/>
      </c>
      <c r="L18">
        <f>IF(A18="","Error","OK")</f>
        <v/>
      </c>
    </row>
    <row r="19">
      <c r="A19" t="inlineStr">
        <is>
          <t>V-2026-0015</t>
        </is>
      </c>
      <c r="B19" t="inlineStr">
        <is>
          <t>2026-08-15</t>
        </is>
      </c>
      <c r="C19" t="inlineStr">
        <is>
          <t>Pacifico</t>
        </is>
      </c>
      <c r="D19" t="inlineStr">
        <is>
          <t>0003</t>
        </is>
      </c>
      <c r="E19" t="inlineStr">
        <is>
          <t>Mouse</t>
        </is>
      </c>
      <c r="F19" s="6" t="n">
        <v>14</v>
      </c>
      <c r="G19" s="7" t="n">
        <v>450</v>
      </c>
      <c r="H19" s="8" t="n">
        <v>0.15</v>
      </c>
      <c r="I19" t="inlineStr">
        <is>
          <t>Pte.</t>
        </is>
      </c>
      <c r="J19" t="inlineStr">
        <is>
          <t>Registro 15</t>
        </is>
      </c>
      <c r="K19" s="9">
        <f>F19*G19*(1-H19)</f>
        <v/>
      </c>
      <c r="L19">
        <f>IF(A19="","Error","OK")</f>
        <v/>
      </c>
    </row>
    <row r="20">
      <c r="A20" t="inlineStr">
        <is>
          <t>V-2026-0016</t>
        </is>
      </c>
      <c r="B20" t="inlineStr">
        <is>
          <t>2026-08-16</t>
        </is>
      </c>
      <c r="C20" t="inlineStr">
        <is>
          <t>Norte</t>
        </is>
      </c>
      <c r="D20" t="inlineStr">
        <is>
          <t>0004</t>
        </is>
      </c>
      <c r="E20" t="inlineStr">
        <is>
          <t>Laptop</t>
        </is>
      </c>
      <c r="F20" s="6" t="n">
        <v>10</v>
      </c>
      <c r="G20" s="7" t="n">
        <v>15500</v>
      </c>
      <c r="H20" s="8" t="n">
        <v>0</v>
      </c>
      <c r="I20" t="inlineStr">
        <is>
          <t>En revision</t>
        </is>
      </c>
      <c r="J20" t="inlineStr">
        <is>
          <t>Registro 16</t>
        </is>
      </c>
      <c r="K20" s="9">
        <f>F20*G20*(1-H20)</f>
        <v/>
      </c>
      <c r="L20">
        <f>IF(A20="","Error","OK")</f>
        <v/>
      </c>
    </row>
    <row r="21">
      <c r="A21" t="inlineStr">
        <is>
          <t>V-2026-0017</t>
        </is>
      </c>
      <c r="B21" t="inlineStr">
        <is>
          <t>2026-08-17</t>
        </is>
      </c>
      <c r="C21" t="inlineStr">
        <is>
          <t>Centro</t>
        </is>
      </c>
      <c r="D21" t="inlineStr">
        <is>
          <t>0001</t>
        </is>
      </c>
      <c r="E21" t="inlineStr">
        <is>
          <t>Monitor</t>
        </is>
      </c>
      <c r="F21" s="6" t="n">
        <v>13</v>
      </c>
      <c r="G21" s="7" t="n">
        <v>3500</v>
      </c>
      <c r="H21" s="8" t="n">
        <v>0.05</v>
      </c>
      <c r="I21" t="inlineStr">
        <is>
          <t>Aprobado</t>
        </is>
      </c>
      <c r="J21" t="inlineStr">
        <is>
          <t>Registro 17</t>
        </is>
      </c>
      <c r="K21" s="9">
        <f>F21*G21*(1-H21)</f>
        <v/>
      </c>
      <c r="L21">
        <f>IF(A21="","Error","OK")</f>
        <v/>
      </c>
    </row>
    <row r="22">
      <c r="A22" t="inlineStr">
        <is>
          <t>V-2026-0018</t>
        </is>
      </c>
      <c r="B22" t="inlineStr">
        <is>
          <t>2026-08-18</t>
        </is>
      </c>
      <c r="C22" t="inlineStr">
        <is>
          <t>Sur</t>
        </is>
      </c>
      <c r="D22" t="inlineStr">
        <is>
          <t>0002</t>
        </is>
      </c>
      <c r="E22" t="inlineStr">
        <is>
          <t>Teclado</t>
        </is>
      </c>
      <c r="F22" s="6" t="n">
        <v>16</v>
      </c>
      <c r="G22" s="7" t="n">
        <v>850</v>
      </c>
      <c r="H22" s="8" t="n">
        <v>0.1</v>
      </c>
      <c r="I22" t="inlineStr">
        <is>
          <t>Pendiente</t>
        </is>
      </c>
      <c r="J22" t="inlineStr">
        <is>
          <t>Registro 18</t>
        </is>
      </c>
      <c r="K22" s="9">
        <f>F22*G22*(1-H22)</f>
        <v/>
      </c>
      <c r="L22">
        <f>IF(A22="","Error","OK")</f>
        <v/>
      </c>
    </row>
    <row r="23">
      <c r="A23" t="inlineStr">
        <is>
          <t>V-2026-0019</t>
        </is>
      </c>
      <c r="B23" t="inlineStr">
        <is>
          <t>2026-08-19</t>
        </is>
      </c>
      <c r="C23" t="inlineStr">
        <is>
          <t>Pacifico</t>
        </is>
      </c>
      <c r="D23" t="inlineStr">
        <is>
          <t>0003</t>
        </is>
      </c>
      <c r="E23" t="inlineStr">
        <is>
          <t>Mouse</t>
        </is>
      </c>
      <c r="F23" s="6" t="n">
        <v>17</v>
      </c>
      <c r="G23" s="7" t="n">
        <v>450</v>
      </c>
      <c r="H23" s="8" t="n">
        <v>0.15</v>
      </c>
      <c r="I23" t="inlineStr">
        <is>
          <t>En revision</t>
        </is>
      </c>
      <c r="J23" t="inlineStr">
        <is>
          <t>Registro 19</t>
        </is>
      </c>
      <c r="K23" s="9">
        <f>F23*G23*(1-H23)</f>
        <v/>
      </c>
      <c r="L23">
        <f>IF(A23="","Error","OK")</f>
        <v/>
      </c>
    </row>
    <row r="24">
      <c r="A24" t="inlineStr">
        <is>
          <t>V-2026-0020</t>
        </is>
      </c>
      <c r="B24" t="inlineStr">
        <is>
          <t>2026-08-20</t>
        </is>
      </c>
      <c r="C24" t="inlineStr">
        <is>
          <t>Norte</t>
        </is>
      </c>
      <c r="D24" t="inlineStr">
        <is>
          <t>0004</t>
        </is>
      </c>
      <c r="E24" t="inlineStr">
        <is>
          <t>Laptop</t>
        </is>
      </c>
      <c r="F24" s="6" t="n">
        <v>2</v>
      </c>
      <c r="G24" s="7" t="n">
        <v>15500</v>
      </c>
      <c r="H24" s="8" t="n">
        <v>0</v>
      </c>
      <c r="I24" t="inlineStr">
        <is>
          <t>Aprobado</t>
        </is>
      </c>
      <c r="J24" t="inlineStr">
        <is>
          <t>Registro 20</t>
        </is>
      </c>
      <c r="K24" s="9">
        <f>F24*G24*(1-H24)</f>
        <v/>
      </c>
      <c r="L24">
        <f>IF(A24="","Error","OK")</f>
        <v/>
      </c>
    </row>
    <row r="25">
      <c r="A25" t="inlineStr">
        <is>
          <t>V-2026-0021</t>
        </is>
      </c>
      <c r="B25" t="inlineStr">
        <is>
          <t>2026-08-21</t>
        </is>
      </c>
      <c r="C25" t="inlineStr">
        <is>
          <t>Centro</t>
        </is>
      </c>
      <c r="D25" t="inlineStr">
        <is>
          <t>0001</t>
        </is>
      </c>
      <c r="E25" t="inlineStr">
        <is>
          <t>Monitor</t>
        </is>
      </c>
      <c r="F25" s="6" t="n">
        <v>11</v>
      </c>
      <c r="G25" s="7" t="n">
        <v>3500</v>
      </c>
      <c r="H25" s="8" t="n">
        <v>0.05</v>
      </c>
      <c r="I25" t="inlineStr">
        <is>
          <t>Pendiente</t>
        </is>
      </c>
      <c r="J25" t="inlineStr">
        <is>
          <t>Registro 21</t>
        </is>
      </c>
      <c r="K25" s="9">
        <f>F25*G25*(1-H25)</f>
        <v/>
      </c>
      <c r="L25">
        <f>IF(A25="","Error","OK")</f>
        <v/>
      </c>
    </row>
    <row r="26">
      <c r="A26" t="inlineStr">
        <is>
          <t>V-2026-0022</t>
        </is>
      </c>
      <c r="B26" t="inlineStr">
        <is>
          <t>2026-08-22</t>
        </is>
      </c>
      <c r="C26" t="inlineStr">
        <is>
          <t>Sur</t>
        </is>
      </c>
      <c r="D26" t="inlineStr">
        <is>
          <t>0002</t>
        </is>
      </c>
      <c r="E26" t="inlineStr">
        <is>
          <t>Teclado</t>
        </is>
      </c>
      <c r="F26" s="6" t="n">
        <v>19</v>
      </c>
      <c r="G26" s="7" t="n">
        <v>850</v>
      </c>
      <c r="H26" s="8" t="n">
        <v>0.1</v>
      </c>
      <c r="I26" t="inlineStr">
        <is>
          <t>En revision</t>
        </is>
      </c>
      <c r="J26" t="inlineStr">
        <is>
          <t>Registro 22</t>
        </is>
      </c>
      <c r="K26" s="9">
        <f>F26*G26*(1-H26)</f>
        <v/>
      </c>
      <c r="L26">
        <f>IF(A26="","Error","OK")</f>
        <v/>
      </c>
    </row>
    <row r="27">
      <c r="A27" t="inlineStr">
        <is>
          <t>V-2026-0023</t>
        </is>
      </c>
      <c r="B27" t="inlineStr">
        <is>
          <t>2026-08-23</t>
        </is>
      </c>
      <c r="C27" t="inlineStr">
        <is>
          <t>Pacifico</t>
        </is>
      </c>
      <c r="D27" t="inlineStr">
        <is>
          <t>0003</t>
        </is>
      </c>
      <c r="E27" t="inlineStr">
        <is>
          <t>Mouse</t>
        </is>
      </c>
      <c r="F27" s="6" t="n">
        <v>12</v>
      </c>
      <c r="G27" s="7" t="n">
        <v>450</v>
      </c>
      <c r="H27" s="8" t="n">
        <v>0.15</v>
      </c>
      <c r="I27" t="inlineStr">
        <is>
          <t>Aprobado</t>
        </is>
      </c>
      <c r="J27" t="inlineStr">
        <is>
          <t>Registro 23</t>
        </is>
      </c>
      <c r="K27" s="9">
        <f>F27*G27*(1-H27)</f>
        <v/>
      </c>
      <c r="L27">
        <f>IF(A27="","Error","OK")</f>
        <v/>
      </c>
    </row>
    <row r="28">
      <c r="A28" t="inlineStr">
        <is>
          <t>V-2026-0024</t>
        </is>
      </c>
      <c r="B28" t="inlineStr">
        <is>
          <t>2026-08-24</t>
        </is>
      </c>
      <c r="C28" t="inlineStr">
        <is>
          <t>Norte</t>
        </is>
      </c>
      <c r="D28" t="inlineStr">
        <is>
          <t>0004</t>
        </is>
      </c>
      <c r="E28" t="inlineStr">
        <is>
          <t>Laptop</t>
        </is>
      </c>
      <c r="F28" s="6" t="n">
        <v>17</v>
      </c>
      <c r="G28" s="7" t="n">
        <v>15500</v>
      </c>
      <c r="H28" s="8" t="n">
        <v>0</v>
      </c>
      <c r="I28" t="inlineStr">
        <is>
          <t>Pendiente</t>
        </is>
      </c>
      <c r="J28" t="inlineStr">
        <is>
          <t>Registro 24</t>
        </is>
      </c>
      <c r="K28" s="9">
        <f>F28*G28*(1-H28)</f>
        <v/>
      </c>
      <c r="L28">
        <f>IF(A28="","Error","OK")</f>
        <v/>
      </c>
    </row>
    <row r="29">
      <c r="A29" t="inlineStr">
        <is>
          <t>V-2026-0025</t>
        </is>
      </c>
      <c r="B29" t="inlineStr">
        <is>
          <t>2026-08-25</t>
        </is>
      </c>
      <c r="C29" t="inlineStr">
        <is>
          <t>Centro</t>
        </is>
      </c>
      <c r="D29" t="inlineStr">
        <is>
          <t>0001</t>
        </is>
      </c>
      <c r="E29" t="inlineStr">
        <is>
          <t>Monitor</t>
        </is>
      </c>
      <c r="F29" s="6" t="n">
        <v>18</v>
      </c>
      <c r="G29" s="7" t="n">
        <v>3500</v>
      </c>
      <c r="H29" s="8" t="n">
        <v>0.05</v>
      </c>
      <c r="I29" t="inlineStr">
        <is>
          <t>En revision</t>
        </is>
      </c>
      <c r="J29" t="inlineStr">
        <is>
          <t>Registro 25</t>
        </is>
      </c>
      <c r="K29" s="9">
        <f>F29*G29*(1-H29)</f>
        <v/>
      </c>
      <c r="L29">
        <f>IF(A29="","Error","OK")</f>
        <v/>
      </c>
    </row>
    <row r="30">
      <c r="A30" t="inlineStr">
        <is>
          <t>V-2026-0026</t>
        </is>
      </c>
      <c r="B30" t="inlineStr">
        <is>
          <t>2026-08-26</t>
        </is>
      </c>
      <c r="C30" t="inlineStr">
        <is>
          <t>Sur</t>
        </is>
      </c>
      <c r="D30" t="inlineStr">
        <is>
          <t>0002</t>
        </is>
      </c>
      <c r="E30" t="inlineStr">
        <is>
          <t>Teclado</t>
        </is>
      </c>
      <c r="F30" s="6" t="n">
        <v>4</v>
      </c>
      <c r="G30" s="7" t="n">
        <v>850</v>
      </c>
      <c r="H30" s="8" t="n">
        <v>0.1</v>
      </c>
      <c r="I30" t="inlineStr">
        <is>
          <t>Aprobado</t>
        </is>
      </c>
      <c r="J30" t="inlineStr">
        <is>
          <t>Registro 26</t>
        </is>
      </c>
      <c r="K30" s="9">
        <f>F30*G30*(1-H30)</f>
        <v/>
      </c>
      <c r="L30">
        <f>IF(A30="","Error","OK")</f>
        <v/>
      </c>
    </row>
    <row r="31">
      <c r="A31" t="inlineStr">
        <is>
          <t>V-2026-0027</t>
        </is>
      </c>
      <c r="B31" t="inlineStr">
        <is>
          <t>2026-08-27</t>
        </is>
      </c>
      <c r="C31" t="inlineStr">
        <is>
          <t>Pacifico</t>
        </is>
      </c>
      <c r="D31" t="inlineStr">
        <is>
          <t>0003</t>
        </is>
      </c>
      <c r="E31" t="inlineStr">
        <is>
          <t>Mouse</t>
        </is>
      </c>
      <c r="F31" s="6" t="n">
        <v>10</v>
      </c>
      <c r="G31" s="7" t="n">
        <v>450</v>
      </c>
      <c r="H31" s="8" t="n">
        <v>0.15</v>
      </c>
      <c r="I31" t="inlineStr">
        <is>
          <t>Pendiente</t>
        </is>
      </c>
      <c r="J31" t="inlineStr">
        <is>
          <t>Registro 27</t>
        </is>
      </c>
      <c r="K31" s="9">
        <f>F31*G31*(1-H31)</f>
        <v/>
      </c>
      <c r="L31">
        <f>IF(A31="","Error","OK")</f>
        <v/>
      </c>
    </row>
    <row r="32">
      <c r="A32" t="inlineStr">
        <is>
          <t>V-2026-0028</t>
        </is>
      </c>
      <c r="B32" t="inlineStr">
        <is>
          <t>2026-08-28</t>
        </is>
      </c>
      <c r="C32" t="inlineStr">
        <is>
          <t>Norte</t>
        </is>
      </c>
      <c r="D32" t="inlineStr">
        <is>
          <t>0004</t>
        </is>
      </c>
      <c r="E32" t="inlineStr">
        <is>
          <t>Laptop</t>
        </is>
      </c>
      <c r="F32" s="6" t="n">
        <v>10</v>
      </c>
      <c r="G32" s="7" t="n">
        <v>15500</v>
      </c>
      <c r="H32" s="8" t="n">
        <v>0</v>
      </c>
      <c r="I32" t="inlineStr">
        <is>
          <t>En revision</t>
        </is>
      </c>
      <c r="J32" t="inlineStr">
        <is>
          <t>Registro 28</t>
        </is>
      </c>
      <c r="K32" s="9">
        <f>F32*G32*(1-H32)</f>
        <v/>
      </c>
      <c r="L32">
        <f>IF(A32="","Error","OK")</f>
        <v/>
      </c>
    </row>
    <row r="33">
      <c r="A33" t="inlineStr">
        <is>
          <t>V-2026-0029</t>
        </is>
      </c>
      <c r="B33" t="inlineStr">
        <is>
          <t>2026-08-01</t>
        </is>
      </c>
      <c r="C33" t="inlineStr">
        <is>
          <t>Centro</t>
        </is>
      </c>
      <c r="D33" t="inlineStr">
        <is>
          <t>0001</t>
        </is>
      </c>
      <c r="E33" t="inlineStr">
        <is>
          <t>Monitor</t>
        </is>
      </c>
      <c r="F33" s="6" t="n">
        <v>18</v>
      </c>
      <c r="G33" s="7" t="n">
        <v>3500</v>
      </c>
      <c r="H33" s="8" t="n">
        <v>0.05</v>
      </c>
      <c r="I33" t="inlineStr">
        <is>
          <t>Aprobado</t>
        </is>
      </c>
      <c r="J33" t="inlineStr">
        <is>
          <t>Registro 29</t>
        </is>
      </c>
      <c r="K33" s="9">
        <f>F33*G33*(1-H33)</f>
        <v/>
      </c>
      <c r="L33">
        <f>IF(A33="","Error","OK")</f>
        <v/>
      </c>
    </row>
    <row r="34">
      <c r="A34" t="inlineStr">
        <is>
          <t>V-2026-0030</t>
        </is>
      </c>
      <c r="B34" t="inlineStr">
        <is>
          <t>2026-08-02</t>
        </is>
      </c>
      <c r="C34" t="inlineStr">
        <is>
          <t>Sur</t>
        </is>
      </c>
      <c r="D34" t="inlineStr">
        <is>
          <t>0002</t>
        </is>
      </c>
      <c r="E34" t="inlineStr">
        <is>
          <t>Teclado</t>
        </is>
      </c>
      <c r="F34" s="6" t="n">
        <v>16</v>
      </c>
      <c r="G34" s="7" t="n">
        <v>850</v>
      </c>
      <c r="H34" s="8" t="n">
        <v>0.1</v>
      </c>
      <c r="I34" t="inlineStr">
        <is>
          <t>Pendiente</t>
        </is>
      </c>
      <c r="J34" t="inlineStr">
        <is>
          <t>Registro 30</t>
        </is>
      </c>
      <c r="K34" s="9">
        <f>F34*G34*(1-H34)</f>
        <v/>
      </c>
      <c r="L34">
        <f>IF(A34="","Error","OK")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0" customWidth="1" min="4" max="4"/>
    <col width="18" customWidth="1" min="5" max="5"/>
    <col width="11" customWidth="1" min="6" max="6"/>
    <col width="13" customWidth="1" min="7" max="7"/>
    <col width="12" customWidth="1" min="8" max="8"/>
    <col width="15" customWidth="1" min="9" max="9"/>
    <col width="24" customWidth="1" min="10" max="10"/>
    <col width="16" customWidth="1" min="11" max="11"/>
    <col width="12" customWidth="1" min="12" max="12"/>
  </cols>
  <sheetData>
    <row r="1" ht="28" customHeight="1">
      <c r="A1" s="1" t="inlineStr">
        <is>
          <t>Base de operaciones comerciales</t>
        </is>
      </c>
    </row>
    <row r="2">
      <c r="A2" s="2" t="inlineStr">
        <is>
          <t>Una fila representa una operacion; una columna representa una variable.</t>
        </is>
      </c>
    </row>
    <row r="4">
      <c r="A4" s="5" t="inlineStr">
        <is>
          <t>Folio</t>
        </is>
      </c>
      <c r="B4" s="5" t="inlineStr">
        <is>
          <t>Fecha</t>
        </is>
      </c>
      <c r="C4" s="5" t="inlineStr">
        <is>
          <t>Region</t>
        </is>
      </c>
      <c r="D4" s="5" t="inlineStr">
        <is>
          <t>SKU</t>
        </is>
      </c>
      <c r="E4" s="5" t="inlineStr">
        <is>
          <t>Producto</t>
        </is>
      </c>
      <c r="F4" s="5" t="inlineStr">
        <is>
          <t>Cantidad</t>
        </is>
      </c>
      <c r="G4" s="5" t="inlineStr">
        <is>
          <t>Precio</t>
        </is>
      </c>
      <c r="H4" s="5" t="inlineStr">
        <is>
          <t>Descuento</t>
        </is>
      </c>
      <c r="I4" s="5" t="inlineStr">
        <is>
          <t>Estatus</t>
        </is>
      </c>
      <c r="J4" s="5" t="inlineStr">
        <is>
          <t>Observaciones</t>
        </is>
      </c>
      <c r="K4" s="5" t="inlineStr">
        <is>
          <t>Importe</t>
        </is>
      </c>
      <c r="L4" s="5" t="inlineStr">
        <is>
          <t>Control</t>
        </is>
      </c>
    </row>
    <row r="5">
      <c r="A5" t="inlineStr">
        <is>
          <t>V-2026-0001</t>
        </is>
      </c>
      <c r="B5" t="inlineStr">
        <is>
          <t>2026-08-01</t>
        </is>
      </c>
      <c r="C5" t="inlineStr">
        <is>
          <t>Centro</t>
        </is>
      </c>
      <c r="D5" t="inlineStr">
        <is>
          <t>0001</t>
        </is>
      </c>
      <c r="E5" t="inlineStr">
        <is>
          <t>Monitor</t>
        </is>
      </c>
      <c r="F5" s="6" t="n">
        <v>9</v>
      </c>
      <c r="G5" s="7" t="n">
        <v>3500</v>
      </c>
      <c r="H5" s="8" t="n">
        <v>0.05</v>
      </c>
      <c r="I5" t="inlineStr">
        <is>
          <t>En revision</t>
        </is>
      </c>
      <c r="J5" t="inlineStr">
        <is>
          <t>Registro 1</t>
        </is>
      </c>
      <c r="K5" s="9">
        <f>F5*G5*(1-H5)</f>
        <v/>
      </c>
      <c r="L5">
        <f>IF(A5="","Error","OK")</f>
        <v/>
      </c>
    </row>
    <row r="6">
      <c r="A6" t="inlineStr">
        <is>
          <t>V-2026-0002</t>
        </is>
      </c>
      <c r="B6" t="inlineStr">
        <is>
          <t>2026-08-02</t>
        </is>
      </c>
      <c r="C6" t="inlineStr">
        <is>
          <t>Sur</t>
        </is>
      </c>
      <c r="D6" t="inlineStr">
        <is>
          <t>0002</t>
        </is>
      </c>
      <c r="E6" t="inlineStr">
        <is>
          <t>Teclado</t>
        </is>
      </c>
      <c r="F6" s="6" t="n">
        <v>15</v>
      </c>
      <c r="G6" s="7" t="n">
        <v>850</v>
      </c>
      <c r="H6" s="8" t="n">
        <v>0.1</v>
      </c>
      <c r="I6" t="inlineStr">
        <is>
          <t>Aprobado</t>
        </is>
      </c>
      <c r="J6" t="inlineStr">
        <is>
          <t>Registro 2</t>
        </is>
      </c>
      <c r="K6" s="9">
        <f>F6*G6*(1-H6)</f>
        <v/>
      </c>
      <c r="L6">
        <f>IF(A6="","Error","OK")</f>
        <v/>
      </c>
    </row>
    <row r="7">
      <c r="A7" t="inlineStr">
        <is>
          <t>V-2026-0003</t>
        </is>
      </c>
      <c r="B7" t="inlineStr">
        <is>
          <t>2026-08-03</t>
        </is>
      </c>
      <c r="C7" t="inlineStr">
        <is>
          <t>Pacifico</t>
        </is>
      </c>
      <c r="D7" t="inlineStr">
        <is>
          <t>0003</t>
        </is>
      </c>
      <c r="E7" t="inlineStr">
        <is>
          <t>Mouse</t>
        </is>
      </c>
      <c r="F7" s="6" t="n">
        <v>3</v>
      </c>
      <c r="G7" s="7" t="n">
        <v>450</v>
      </c>
      <c r="H7" s="8" t="n">
        <v>0.15</v>
      </c>
      <c r="I7" t="inlineStr">
        <is>
          <t>Pendiente</t>
        </is>
      </c>
      <c r="J7" t="inlineStr">
        <is>
          <t>Registro 3</t>
        </is>
      </c>
      <c r="K7" s="9">
        <f>F7*G7*(1-H7)</f>
        <v/>
      </c>
      <c r="L7">
        <f>IF(A7="","Error","OK")</f>
        <v/>
      </c>
    </row>
    <row r="8">
      <c r="A8" t="inlineStr">
        <is>
          <t>V-2026-0004</t>
        </is>
      </c>
      <c r="B8" t="inlineStr">
        <is>
          <t>2026-08-04</t>
        </is>
      </c>
      <c r="C8" t="inlineStr">
        <is>
          <t>Norte</t>
        </is>
      </c>
      <c r="D8" t="inlineStr">
        <is>
          <t>0004</t>
        </is>
      </c>
      <c r="E8" t="inlineStr">
        <is>
          <t>Laptop</t>
        </is>
      </c>
      <c r="F8" s="6" t="n">
        <v>18</v>
      </c>
      <c r="G8" s="7" t="n">
        <v>15500</v>
      </c>
      <c r="H8" s="8" t="n">
        <v>0</v>
      </c>
      <c r="I8" t="inlineStr">
        <is>
          <t>En revision</t>
        </is>
      </c>
      <c r="J8" t="inlineStr">
        <is>
          <t>Registro 4</t>
        </is>
      </c>
      <c r="K8" s="9">
        <f>F8*G8*(1-H8)</f>
        <v/>
      </c>
      <c r="L8">
        <f>IF(A8="","Error","OK")</f>
        <v/>
      </c>
    </row>
    <row r="9">
      <c r="A9" t="inlineStr">
        <is>
          <t>V-2026-0005</t>
        </is>
      </c>
      <c r="B9" t="inlineStr">
        <is>
          <t>2026-08-05</t>
        </is>
      </c>
      <c r="C9" t="inlineStr">
        <is>
          <t>Centro</t>
        </is>
      </c>
      <c r="D9" t="inlineStr">
        <is>
          <t>0001</t>
        </is>
      </c>
      <c r="E9" t="inlineStr">
        <is>
          <t>Monitor</t>
        </is>
      </c>
      <c r="F9" s="6" t="n">
        <v>11</v>
      </c>
      <c r="G9" s="7" t="n">
        <v>3500</v>
      </c>
      <c r="H9" s="8" t="n">
        <v>0.05</v>
      </c>
      <c r="I9" t="inlineStr">
        <is>
          <t>Aprobado</t>
        </is>
      </c>
      <c r="J9" t="inlineStr">
        <is>
          <t>Registro 5</t>
        </is>
      </c>
      <c r="K9" s="9">
        <f>F9*G9*(1-H9)</f>
        <v/>
      </c>
      <c r="L9">
        <f>IF(A9="","Error","OK")</f>
        <v/>
      </c>
    </row>
    <row r="10">
      <c r="A10" t="inlineStr">
        <is>
          <t>V-2026-0006</t>
        </is>
      </c>
      <c r="B10" t="inlineStr">
        <is>
          <t>2026-08-06</t>
        </is>
      </c>
      <c r="C10" t="inlineStr">
        <is>
          <t>Sur</t>
        </is>
      </c>
      <c r="D10" t="inlineStr">
        <is>
          <t>0002</t>
        </is>
      </c>
      <c r="E10" t="inlineStr">
        <is>
          <t>Teclado</t>
        </is>
      </c>
      <c r="F10" s="6" t="n">
        <v>19</v>
      </c>
      <c r="G10" s="7" t="n">
        <v>850</v>
      </c>
      <c r="H10" s="8" t="n">
        <v>0.1</v>
      </c>
      <c r="I10" t="inlineStr">
        <is>
          <t>Pendiente</t>
        </is>
      </c>
      <c r="J10" t="inlineStr">
        <is>
          <t>Registro 6</t>
        </is>
      </c>
      <c r="K10" s="9">
        <f>F10*G10*(1-H10)</f>
        <v/>
      </c>
      <c r="L10">
        <f>IF(A10="","Error","OK")</f>
        <v/>
      </c>
    </row>
    <row r="11">
      <c r="A11" t="inlineStr">
        <is>
          <t>V-2026-0006</t>
        </is>
      </c>
      <c r="B11" t="inlineStr">
        <is>
          <t>2026-08-07</t>
        </is>
      </c>
      <c r="C11" t="inlineStr">
        <is>
          <t>Pacifico</t>
        </is>
      </c>
      <c r="D11" t="inlineStr">
        <is>
          <t>0003</t>
        </is>
      </c>
      <c r="E11" t="inlineStr">
        <is>
          <t>Mouse</t>
        </is>
      </c>
      <c r="F11" s="6" t="n">
        <v>3</v>
      </c>
      <c r="G11" s="7" t="n">
        <v>450</v>
      </c>
      <c r="H11" s="8" t="n">
        <v>0.15</v>
      </c>
      <c r="I11" t="inlineStr">
        <is>
          <t>En revision</t>
        </is>
      </c>
      <c r="J11" t="inlineStr">
        <is>
          <t>Registro 7</t>
        </is>
      </c>
      <c r="K11" s="9">
        <f>F11*G11*(1-H11)</f>
        <v/>
      </c>
      <c r="L11">
        <f>IF(A11="","Error","OK")</f>
        <v/>
      </c>
    </row>
    <row r="12">
      <c r="A12" t="inlineStr">
        <is>
          <t>V-2026-0008</t>
        </is>
      </c>
      <c r="B12" t="inlineStr">
        <is>
          <t>2026-08-08</t>
        </is>
      </c>
      <c r="C12" t="inlineStr">
        <is>
          <t>Norte</t>
        </is>
      </c>
      <c r="D12" t="inlineStr">
        <is>
          <t>0004</t>
        </is>
      </c>
      <c r="E12" t="inlineStr">
        <is>
          <t>Laptop</t>
        </is>
      </c>
      <c r="F12" s="6" t="n">
        <v>19</v>
      </c>
      <c r="G12" s="7" t="n">
        <v>15500</v>
      </c>
      <c r="H12" s="8" t="n">
        <v>0</v>
      </c>
      <c r="I12" t="inlineStr">
        <is>
          <t>Aprobado</t>
        </is>
      </c>
      <c r="J12" t="inlineStr">
        <is>
          <t>Registro 8</t>
        </is>
      </c>
      <c r="K12" s="9">
        <f>F12*G12*(1-H12)</f>
        <v/>
      </c>
      <c r="L12">
        <f>IF(A12="","Error","OK")</f>
        <v/>
      </c>
    </row>
    <row r="13">
      <c r="A13" t="inlineStr">
        <is>
          <t>V-2026-0009</t>
        </is>
      </c>
      <c r="B13" t="inlineStr">
        <is>
          <t>2026-08-09</t>
        </is>
      </c>
      <c r="C13" t="inlineStr">
        <is>
          <t>Centro</t>
        </is>
      </c>
      <c r="D13" t="inlineStr">
        <is>
          <t>0001</t>
        </is>
      </c>
      <c r="E13" t="inlineStr">
        <is>
          <t>Monitor</t>
        </is>
      </c>
      <c r="F13" s="6" t="n">
        <v>9</v>
      </c>
      <c r="G13" s="7" t="n">
        <v>3500</v>
      </c>
      <c r="H13" s="8" t="n">
        <v>0.05</v>
      </c>
      <c r="I13" t="inlineStr">
        <is>
          <t>Pendiente</t>
        </is>
      </c>
      <c r="J13" t="inlineStr">
        <is>
          <t>Registro 9</t>
        </is>
      </c>
      <c r="K13" s="9">
        <f>F13*G13*(1-H13)</f>
        <v/>
      </c>
      <c r="L13">
        <f>IF(A13="","Error","OK")</f>
        <v/>
      </c>
    </row>
    <row r="14">
      <c r="A14" t="inlineStr">
        <is>
          <t>V-2026-0010</t>
        </is>
      </c>
      <c r="B14" t="inlineStr">
        <is>
          <t>2026-08-10</t>
        </is>
      </c>
      <c r="C14" t="inlineStr">
        <is>
          <t>Sur</t>
        </is>
      </c>
      <c r="D14" t="inlineStr">
        <is>
          <t>0002</t>
        </is>
      </c>
      <c r="E14" t="inlineStr">
        <is>
          <t>Teclado</t>
        </is>
      </c>
      <c r="F14" s="6" t="n">
        <v>17</v>
      </c>
      <c r="G14" s="7" t="n">
        <v>850</v>
      </c>
      <c r="H14" s="8" t="n">
        <v>0.1</v>
      </c>
      <c r="I14" t="inlineStr">
        <is>
          <t>En revision</t>
        </is>
      </c>
      <c r="J14" t="inlineStr">
        <is>
          <t>Registro 10</t>
        </is>
      </c>
      <c r="K14" s="9">
        <f>F14*G14*(1-H14)</f>
        <v/>
      </c>
      <c r="L14">
        <f>IF(A14="","Error","OK")</f>
        <v/>
      </c>
    </row>
    <row r="15">
      <c r="A15" t="inlineStr">
        <is>
          <t>V-2026-0011</t>
        </is>
      </c>
      <c r="B15" t="inlineStr">
        <is>
          <t>15/08/26 texto</t>
        </is>
      </c>
      <c r="C15" t="inlineStr">
        <is>
          <t>Pacifico</t>
        </is>
      </c>
      <c r="D15" t="inlineStr">
        <is>
          <t>0003</t>
        </is>
      </c>
      <c r="E15" t="inlineStr">
        <is>
          <t>Mouse</t>
        </is>
      </c>
      <c r="F15" s="6" t="n">
        <v>7</v>
      </c>
      <c r="G15" s="7" t="n">
        <v>450</v>
      </c>
      <c r="H15" s="8" t="n">
        <v>0.15</v>
      </c>
      <c r="I15" t="inlineStr">
        <is>
          <t>Aprobado</t>
        </is>
      </c>
      <c r="J15" t="inlineStr">
        <is>
          <t>Registro 11</t>
        </is>
      </c>
      <c r="K15" s="9">
        <f>F15*G15*(1-H15)</f>
        <v/>
      </c>
      <c r="L15">
        <f>IF(A15="","Error","OK")</f>
        <v/>
      </c>
    </row>
    <row r="16">
      <c r="A16" t="inlineStr">
        <is>
          <t>V-2026-0012</t>
        </is>
      </c>
      <c r="B16" t="inlineStr">
        <is>
          <t>2026-08-12</t>
        </is>
      </c>
      <c r="C16" t="inlineStr">
        <is>
          <t>Norte</t>
        </is>
      </c>
      <c r="D16" t="inlineStr">
        <is>
          <t>0004</t>
        </is>
      </c>
      <c r="E16" t="inlineStr">
        <is>
          <t>Laptop</t>
        </is>
      </c>
      <c r="F16" s="6" t="n">
        <v>18</v>
      </c>
      <c r="G16" s="7" t="n">
        <v>15500</v>
      </c>
      <c r="H16" s="8" t="n">
        <v>0</v>
      </c>
      <c r="I16" t="inlineStr">
        <is>
          <t>Pendiente</t>
        </is>
      </c>
      <c r="J16" t="inlineStr">
        <is>
          <t>Registro 12</t>
        </is>
      </c>
      <c r="K16" s="9">
        <f>F16*G16*(1-H16)</f>
        <v/>
      </c>
      <c r="L16">
        <f>IF(A16="","Error","OK")</f>
        <v/>
      </c>
    </row>
    <row r="17">
      <c r="A17" t="inlineStr">
        <is>
          <t>V-2026-0013</t>
        </is>
      </c>
      <c r="B17" t="inlineStr">
        <is>
          <t>2026-08-13</t>
        </is>
      </c>
      <c r="C17" t="inlineStr">
        <is>
          <t>Centro</t>
        </is>
      </c>
      <c r="D17" t="inlineStr">
        <is>
          <t>0001</t>
        </is>
      </c>
      <c r="E17" t="inlineStr">
        <is>
          <t>Monitor</t>
        </is>
      </c>
      <c r="F17" s="6" t="n">
        <v>9</v>
      </c>
      <c r="G17" s="7" t="n">
        <v>3500</v>
      </c>
      <c r="H17" s="8" t="n">
        <v>0.05</v>
      </c>
      <c r="I17" t="inlineStr">
        <is>
          <t>En revision</t>
        </is>
      </c>
      <c r="J17" t="inlineStr">
        <is>
          <t>Registro 13</t>
        </is>
      </c>
      <c r="K17" s="9" t="n">
        <v>9999</v>
      </c>
      <c r="L17">
        <f>IF(A17="","Error","OK")</f>
        <v/>
      </c>
    </row>
    <row r="18">
      <c r="A18" t="inlineStr">
        <is>
          <t>V-2026-0014</t>
        </is>
      </c>
      <c r="B18" t="inlineStr">
        <is>
          <t>2026-08-14</t>
        </is>
      </c>
      <c r="C18" t="inlineStr">
        <is>
          <t>Sur</t>
        </is>
      </c>
      <c r="D18" t="inlineStr">
        <is>
          <t>0002</t>
        </is>
      </c>
      <c r="E18" t="inlineStr">
        <is>
          <t>Teclado</t>
        </is>
      </c>
      <c r="F18" s="6" t="n">
        <v>11</v>
      </c>
      <c r="G18" s="7" t="n">
        <v>850</v>
      </c>
      <c r="H18" s="8" t="n">
        <v>0.1</v>
      </c>
      <c r="I18" t="inlineStr">
        <is>
          <t>Aprobado</t>
        </is>
      </c>
      <c r="J18" t="inlineStr">
        <is>
          <t>Registro 14</t>
        </is>
      </c>
      <c r="K18" s="9">
        <f>F18*G18*(1-H18)</f>
        <v/>
      </c>
      <c r="L18">
        <f>IF(A18="","Error","OK")</f>
        <v/>
      </c>
    </row>
    <row r="19">
      <c r="A19" t="inlineStr">
        <is>
          <t>V-2026-0015</t>
        </is>
      </c>
      <c r="B19" t="inlineStr">
        <is>
          <t>2026-08-15</t>
        </is>
      </c>
      <c r="C19" t="inlineStr">
        <is>
          <t>Pacifico</t>
        </is>
      </c>
      <c r="D19" t="inlineStr">
        <is>
          <t>0003</t>
        </is>
      </c>
      <c r="E19" t="inlineStr">
        <is>
          <t>Mouse</t>
        </is>
      </c>
      <c r="F19" s="6" t="n">
        <v>14</v>
      </c>
      <c r="G19" s="7" t="n">
        <v>450</v>
      </c>
      <c r="H19" s="8" t="n">
        <v>0.15</v>
      </c>
      <c r="I19" t="inlineStr">
        <is>
          <t>Pte.</t>
        </is>
      </c>
      <c r="J19" t="inlineStr">
        <is>
          <t>Registro 15</t>
        </is>
      </c>
      <c r="K19" s="9">
        <f>F19*G19*(1-H19)</f>
        <v/>
      </c>
      <c r="L19">
        <f>IF(A19="","Error","OK")</f>
        <v/>
      </c>
    </row>
    <row r="20">
      <c r="A20" t="inlineStr">
        <is>
          <t>V-2026-0016</t>
        </is>
      </c>
      <c r="B20" t="inlineStr">
        <is>
          <t>2026-08-16</t>
        </is>
      </c>
      <c r="C20" t="inlineStr">
        <is>
          <t>Norte</t>
        </is>
      </c>
      <c r="D20" t="inlineStr">
        <is>
          <t>0004</t>
        </is>
      </c>
      <c r="E20" t="inlineStr">
        <is>
          <t>Laptop</t>
        </is>
      </c>
      <c r="F20" s="6" t="n">
        <v>10</v>
      </c>
      <c r="G20" s="7" t="n">
        <v>15500</v>
      </c>
      <c r="H20" s="8" t="n">
        <v>0</v>
      </c>
      <c r="I20" t="inlineStr">
        <is>
          <t>En revision</t>
        </is>
      </c>
      <c r="J20" t="inlineStr">
        <is>
          <t>Registro 16</t>
        </is>
      </c>
      <c r="K20" s="9">
        <f>F20*G20*(1-H20)</f>
        <v/>
      </c>
      <c r="L20">
        <f>IF(A20="","Error","OK")</f>
        <v/>
      </c>
    </row>
    <row r="21">
      <c r="A21" t="inlineStr">
        <is>
          <t>V-2026-0017</t>
        </is>
      </c>
      <c r="B21" t="inlineStr">
        <is>
          <t>2026-08-17</t>
        </is>
      </c>
      <c r="C21" t="inlineStr">
        <is>
          <t>Centro</t>
        </is>
      </c>
      <c r="D21" t="inlineStr">
        <is>
          <t>0001</t>
        </is>
      </c>
      <c r="E21" t="inlineStr">
        <is>
          <t>Monitor</t>
        </is>
      </c>
      <c r="F21" s="6" t="n">
        <v>13</v>
      </c>
      <c r="G21" s="7" t="n">
        <v>3500</v>
      </c>
      <c r="H21" s="8" t="n">
        <v>0.05</v>
      </c>
      <c r="I21" t="inlineStr">
        <is>
          <t>Aprobado</t>
        </is>
      </c>
      <c r="J21" t="inlineStr">
        <is>
          <t>Registro 17</t>
        </is>
      </c>
      <c r="K21" s="9">
        <f>F21*G21*(1-H21)</f>
        <v/>
      </c>
      <c r="L21">
        <f>IF(A21="","Error","OK")</f>
        <v/>
      </c>
    </row>
    <row r="22">
      <c r="A22" t="inlineStr">
        <is>
          <t>V-2026-0018</t>
        </is>
      </c>
      <c r="B22" t="inlineStr">
        <is>
          <t>2026-08-18</t>
        </is>
      </c>
      <c r="C22" t="inlineStr">
        <is>
          <t>Sur</t>
        </is>
      </c>
      <c r="D22" t="inlineStr">
        <is>
          <t>0002</t>
        </is>
      </c>
      <c r="E22" t="inlineStr">
        <is>
          <t>Teclado</t>
        </is>
      </c>
      <c r="F22" s="6" t="n">
        <v>16</v>
      </c>
      <c r="G22" s="7" t="n">
        <v>850</v>
      </c>
      <c r="H22" s="8" t="n">
        <v>0.1</v>
      </c>
      <c r="I22" t="inlineStr">
        <is>
          <t>Pendiente</t>
        </is>
      </c>
      <c r="J22" t="inlineStr">
        <is>
          <t>Registro 18</t>
        </is>
      </c>
      <c r="K22" s="9">
        <f>F22*G22*(1-H22)</f>
        <v/>
      </c>
      <c r="L22">
        <f>IF(A22="","Error","OK")</f>
        <v/>
      </c>
    </row>
    <row r="23">
      <c r="A23" t="inlineStr">
        <is>
          <t>V-2026-0019</t>
        </is>
      </c>
      <c r="B23" t="inlineStr">
        <is>
          <t>2026-08-19</t>
        </is>
      </c>
      <c r="C23" t="inlineStr">
        <is>
          <t>Pacifico</t>
        </is>
      </c>
      <c r="D23" t="inlineStr">
        <is>
          <t>0003</t>
        </is>
      </c>
      <c r="E23" t="inlineStr">
        <is>
          <t>Mouse</t>
        </is>
      </c>
      <c r="F23" s="6" t="n">
        <v>17</v>
      </c>
      <c r="G23" s="7" t="n">
        <v>450</v>
      </c>
      <c r="H23" s="8" t="n">
        <v>0.15</v>
      </c>
      <c r="I23" t="inlineStr">
        <is>
          <t>En revision</t>
        </is>
      </c>
      <c r="J23" t="inlineStr">
        <is>
          <t>Registro 19</t>
        </is>
      </c>
      <c r="K23" s="9">
        <f>F23*G23*(1-H23)</f>
        <v/>
      </c>
      <c r="L23">
        <f>IF(A23="","Error","OK")</f>
        <v/>
      </c>
    </row>
    <row r="24">
      <c r="A24" t="inlineStr">
        <is>
          <t>V-2026-0020</t>
        </is>
      </c>
      <c r="B24" t="inlineStr">
        <is>
          <t>2026-08-20</t>
        </is>
      </c>
      <c r="C24" t="inlineStr">
        <is>
          <t>Norte</t>
        </is>
      </c>
      <c r="D24" t="inlineStr">
        <is>
          <t>0004</t>
        </is>
      </c>
      <c r="E24" t="inlineStr">
        <is>
          <t>Laptop</t>
        </is>
      </c>
      <c r="F24" s="6" t="n">
        <v>2</v>
      </c>
      <c r="G24" s="7" t="n">
        <v>15500</v>
      </c>
      <c r="H24" s="8" t="n">
        <v>0</v>
      </c>
      <c r="I24" t="inlineStr">
        <is>
          <t>Aprobado</t>
        </is>
      </c>
      <c r="J24" t="inlineStr">
        <is>
          <t>Registro 20</t>
        </is>
      </c>
      <c r="K24" s="9">
        <f>F24*G24*(1-H24)</f>
        <v/>
      </c>
      <c r="L24">
        <f>IF(A24="","Error","OK")</f>
        <v/>
      </c>
    </row>
    <row r="25">
      <c r="A25" t="inlineStr">
        <is>
          <t>V-2026-0021</t>
        </is>
      </c>
      <c r="B25" t="inlineStr">
        <is>
          <t>2026-08-21</t>
        </is>
      </c>
      <c r="C25" t="inlineStr">
        <is>
          <t>Centro</t>
        </is>
      </c>
      <c r="D25" t="inlineStr">
        <is>
          <t>0001</t>
        </is>
      </c>
      <c r="E25" t="inlineStr">
        <is>
          <t>Monitor</t>
        </is>
      </c>
      <c r="F25" s="6" t="n">
        <v>11</v>
      </c>
      <c r="G25" s="7" t="n">
        <v>3500</v>
      </c>
      <c r="H25" s="8" t="n">
        <v>0.05</v>
      </c>
      <c r="I25" t="inlineStr">
        <is>
          <t>Pendiente</t>
        </is>
      </c>
      <c r="J25" t="inlineStr">
        <is>
          <t>Registro 21</t>
        </is>
      </c>
      <c r="K25" s="9">
        <f>F25*G25*(1-H25)</f>
        <v/>
      </c>
      <c r="L25">
        <f>IF(A25="","Error","OK")</f>
        <v/>
      </c>
    </row>
    <row r="26">
      <c r="A26" t="inlineStr">
        <is>
          <t>V-2026-0022</t>
        </is>
      </c>
      <c r="B26" t="inlineStr">
        <is>
          <t>2026-08-22</t>
        </is>
      </c>
      <c r="C26" t="inlineStr">
        <is>
          <t>Sur</t>
        </is>
      </c>
      <c r="D26" t="inlineStr">
        <is>
          <t>0002</t>
        </is>
      </c>
      <c r="E26" t="inlineStr">
        <is>
          <t>Teclado</t>
        </is>
      </c>
      <c r="F26" s="6" t="n">
        <v>19</v>
      </c>
      <c r="G26" s="7" t="n">
        <v>850</v>
      </c>
      <c r="H26" s="8" t="n">
        <v>0.1</v>
      </c>
      <c r="I26" t="inlineStr">
        <is>
          <t>En revision</t>
        </is>
      </c>
      <c r="J26" t="inlineStr">
        <is>
          <t>Registro 22</t>
        </is>
      </c>
      <c r="K26" s="9">
        <f>F26*G26*(1-H26)</f>
        <v/>
      </c>
      <c r="L26">
        <f>IF(A26="","Error","OK")</f>
        <v/>
      </c>
    </row>
    <row r="27">
      <c r="A27" t="inlineStr">
        <is>
          <t>V-2026-0023</t>
        </is>
      </c>
      <c r="B27" t="inlineStr">
        <is>
          <t>2026-08-23</t>
        </is>
      </c>
      <c r="C27" t="inlineStr">
        <is>
          <t>Pacifico</t>
        </is>
      </c>
      <c r="D27" t="inlineStr">
        <is>
          <t>0003</t>
        </is>
      </c>
      <c r="E27" t="inlineStr">
        <is>
          <t>Mouse</t>
        </is>
      </c>
      <c r="F27" s="6" t="n">
        <v>12</v>
      </c>
      <c r="G27" s="7" t="n">
        <v>450</v>
      </c>
      <c r="H27" s="8" t="n">
        <v>0.15</v>
      </c>
      <c r="I27" t="inlineStr">
        <is>
          <t>Aprobado</t>
        </is>
      </c>
      <c r="J27" t="inlineStr">
        <is>
          <t>Registro 23</t>
        </is>
      </c>
      <c r="K27" s="9">
        <f>F27*G27*(1-H27)</f>
        <v/>
      </c>
      <c r="L27">
        <f>IF(A27="","Error","OK")</f>
        <v/>
      </c>
    </row>
    <row r="28">
      <c r="A28" t="inlineStr">
        <is>
          <t>V-2026-0024</t>
        </is>
      </c>
      <c r="B28" t="inlineStr">
        <is>
          <t>2026-08-24</t>
        </is>
      </c>
      <c r="C28" t="inlineStr">
        <is>
          <t>Norte</t>
        </is>
      </c>
      <c r="D28" t="inlineStr">
        <is>
          <t>0004</t>
        </is>
      </c>
      <c r="E28" t="inlineStr">
        <is>
          <t>Laptop</t>
        </is>
      </c>
      <c r="F28" s="6" t="n">
        <v>17</v>
      </c>
      <c r="G28" s="7" t="n">
        <v>15500</v>
      </c>
      <c r="H28" s="8" t="n">
        <v>0</v>
      </c>
      <c r="I28" t="inlineStr">
        <is>
          <t>Pendiente</t>
        </is>
      </c>
      <c r="J28" t="inlineStr">
        <is>
          <t>Registro 24</t>
        </is>
      </c>
      <c r="K28" s="9">
        <f>F28*G28*(1-H28)</f>
        <v/>
      </c>
      <c r="L28">
        <f>IF(A28="","Error","OK")</f>
        <v/>
      </c>
    </row>
    <row r="29">
      <c r="A29" t="inlineStr">
        <is>
          <t>V-2026-0025</t>
        </is>
      </c>
      <c r="B29" t="inlineStr">
        <is>
          <t>2026-08-25</t>
        </is>
      </c>
      <c r="C29" t="inlineStr">
        <is>
          <t>Centro</t>
        </is>
      </c>
      <c r="D29" t="inlineStr">
        <is>
          <t>0001</t>
        </is>
      </c>
      <c r="E29" t="inlineStr">
        <is>
          <t>Monitor</t>
        </is>
      </c>
      <c r="F29" s="6" t="n">
        <v>18</v>
      </c>
      <c r="G29" s="7" t="n">
        <v>3500</v>
      </c>
      <c r="H29" s="8" t="n">
        <v>0.05</v>
      </c>
      <c r="I29" t="inlineStr">
        <is>
          <t>En revision</t>
        </is>
      </c>
      <c r="J29" t="inlineStr">
        <is>
          <t>Registro 25</t>
        </is>
      </c>
      <c r="K29" s="9">
        <f>F29*G29*(1-H29)</f>
        <v/>
      </c>
      <c r="L29">
        <f>IF(A29="","Error","OK")</f>
        <v/>
      </c>
    </row>
    <row r="30">
      <c r="A30" t="inlineStr">
        <is>
          <t>V-2026-0026</t>
        </is>
      </c>
      <c r="B30" t="inlineStr">
        <is>
          <t>2026-08-26</t>
        </is>
      </c>
      <c r="C30" t="inlineStr">
        <is>
          <t>Sur</t>
        </is>
      </c>
      <c r="D30" t="inlineStr">
        <is>
          <t>0002</t>
        </is>
      </c>
      <c r="E30" t="inlineStr">
        <is>
          <t>Teclado</t>
        </is>
      </c>
      <c r="F30" s="6" t="n">
        <v>4</v>
      </c>
      <c r="G30" s="7" t="n">
        <v>850</v>
      </c>
      <c r="H30" s="8" t="n">
        <v>0.1</v>
      </c>
      <c r="I30" t="inlineStr">
        <is>
          <t>Aprobado</t>
        </is>
      </c>
      <c r="J30" t="inlineStr">
        <is>
          <t>Registro 26</t>
        </is>
      </c>
      <c r="K30" s="9">
        <f>F30*G30*(1-H30)</f>
        <v/>
      </c>
      <c r="L30">
        <f>IF(A30="","Error","OK")</f>
        <v/>
      </c>
    </row>
    <row r="31">
      <c r="A31" t="inlineStr">
        <is>
          <t>V-2026-0027</t>
        </is>
      </c>
      <c r="B31" t="inlineStr">
        <is>
          <t>2026-08-27</t>
        </is>
      </c>
      <c r="C31" t="inlineStr">
        <is>
          <t>Pacifico</t>
        </is>
      </c>
      <c r="D31" t="inlineStr">
        <is>
          <t>0003</t>
        </is>
      </c>
      <c r="E31" t="inlineStr">
        <is>
          <t>Mouse</t>
        </is>
      </c>
      <c r="F31" s="6" t="n">
        <v>10</v>
      </c>
      <c r="G31" s="7" t="n">
        <v>450</v>
      </c>
      <c r="H31" s="8" t="n">
        <v>0.15</v>
      </c>
      <c r="I31" t="inlineStr">
        <is>
          <t>Pendiente</t>
        </is>
      </c>
      <c r="J31" t="inlineStr">
        <is>
          <t>Registro 27</t>
        </is>
      </c>
      <c r="K31" s="9">
        <f>F31*G31*(1-H31)</f>
        <v/>
      </c>
      <c r="L31">
        <f>IF(A31="","Error","OK")</f>
        <v/>
      </c>
    </row>
    <row r="32">
      <c r="A32" t="inlineStr">
        <is>
          <t>V-2026-0028</t>
        </is>
      </c>
      <c r="B32" t="inlineStr">
        <is>
          <t>2026-08-28</t>
        </is>
      </c>
      <c r="C32" t="inlineStr">
        <is>
          <t>Norte</t>
        </is>
      </c>
      <c r="D32" t="inlineStr">
        <is>
          <t>0004</t>
        </is>
      </c>
      <c r="E32" t="inlineStr">
        <is>
          <t>Laptop</t>
        </is>
      </c>
      <c r="F32" s="6" t="n">
        <v>10</v>
      </c>
      <c r="G32" s="7" t="n">
        <v>15500</v>
      </c>
      <c r="H32" s="8" t="n">
        <v>0</v>
      </c>
      <c r="I32" t="inlineStr">
        <is>
          <t>En revision</t>
        </is>
      </c>
      <c r="J32" t="inlineStr">
        <is>
          <t>Registro 28</t>
        </is>
      </c>
      <c r="K32" s="9">
        <f>F32*G32*(1-H32)</f>
        <v/>
      </c>
      <c r="L32">
        <f>IF(A32="","Error","OK")</f>
        <v/>
      </c>
    </row>
    <row r="33">
      <c r="A33" t="inlineStr">
        <is>
          <t>V-2026-0029</t>
        </is>
      </c>
      <c r="B33" t="inlineStr">
        <is>
          <t>2026-08-01</t>
        </is>
      </c>
      <c r="C33" t="inlineStr">
        <is>
          <t>Centro</t>
        </is>
      </c>
      <c r="D33" t="inlineStr">
        <is>
          <t>0001</t>
        </is>
      </c>
      <c r="E33" t="inlineStr">
        <is>
          <t>Monitor</t>
        </is>
      </c>
      <c r="F33" s="6" t="n">
        <v>18</v>
      </c>
      <c r="G33" s="7" t="n">
        <v>3500</v>
      </c>
      <c r="H33" s="8" t="n">
        <v>0.05</v>
      </c>
      <c r="I33" t="inlineStr">
        <is>
          <t>Aprobado</t>
        </is>
      </c>
      <c r="J33" t="inlineStr">
        <is>
          <t>Registro 29</t>
        </is>
      </c>
      <c r="K33" s="9">
        <f>F33*G33*(1-H33)</f>
        <v/>
      </c>
      <c r="L33">
        <f>IF(A33="","Error","OK")</f>
        <v/>
      </c>
    </row>
    <row r="34">
      <c r="A34" t="inlineStr">
        <is>
          <t>V-2026-0030</t>
        </is>
      </c>
      <c r="B34" t="inlineStr">
        <is>
          <t>2026-08-02</t>
        </is>
      </c>
      <c r="C34" t="inlineStr">
        <is>
          <t>Sur</t>
        </is>
      </c>
      <c r="D34" t="inlineStr">
        <is>
          <t>0002</t>
        </is>
      </c>
      <c r="E34" t="inlineStr">
        <is>
          <t>Teclado</t>
        </is>
      </c>
      <c r="F34" s="6" t="n">
        <v>16</v>
      </c>
      <c r="G34" s="7" t="n">
        <v>850</v>
      </c>
      <c r="H34" s="8" t="n">
        <v>0.1</v>
      </c>
      <c r="I34" t="inlineStr">
        <is>
          <t>Pendiente</t>
        </is>
      </c>
      <c r="J34" t="inlineStr">
        <is>
          <t>Registro 30</t>
        </is>
      </c>
      <c r="K34" s="9">
        <f>F34*G34*(1-H34)</f>
        <v/>
      </c>
      <c r="L34">
        <f>IF(A34="","Error","OK")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8" customWidth="1" min="3" max="3"/>
    <col width="18" customWidth="1" min="4" max="4"/>
    <col width="4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Control y evidencia</t>
        </is>
      </c>
    </row>
    <row r="2">
      <c r="A2" s="2" t="inlineStr">
        <is>
          <t>Leccion 02: Interfaz, cinta y barra de acceso rapido</t>
        </is>
      </c>
    </row>
    <row r="4">
      <c r="A4" s="10" t="inlineStr">
        <is>
          <t>Control</t>
        </is>
      </c>
      <c r="B4" s="10" t="inlineStr">
        <is>
          <t>Esperado</t>
        </is>
      </c>
      <c r="C4" s="10" t="inlineStr">
        <is>
          <t>Obtenido</t>
        </is>
      </c>
      <c r="D4" s="10" t="inlineStr">
        <is>
          <t>Estado</t>
        </is>
      </c>
      <c r="E4" s="10" t="inlineStr">
        <is>
          <t>Evidencia</t>
        </is>
      </c>
    </row>
    <row r="5">
      <c r="A5" t="inlineStr">
        <is>
          <t>Archivo abre correctamente</t>
        </is>
      </c>
      <c r="B5" t="inlineStr">
        <is>
          <t>Si</t>
        </is>
      </c>
      <c r="C5" s="11" t="n"/>
      <c r="D5">
        <f>IF(C5=B5,"Correcto","Revisar")</f>
        <v/>
      </c>
    </row>
    <row r="6">
      <c r="A6" t="inlineStr">
        <is>
          <t>Original intacto</t>
        </is>
      </c>
      <c r="B6" t="inlineStr">
        <is>
          <t>Si</t>
        </is>
      </c>
      <c r="C6" s="11" t="n"/>
      <c r="D6">
        <f>IF(C6=B6,"Correcto","Revisar")</f>
        <v/>
      </c>
    </row>
    <row r="7">
      <c r="A7" t="inlineStr">
        <is>
          <t>Registros completos</t>
        </is>
      </c>
      <c r="B7" t="inlineStr">
        <is>
          <t>Si</t>
        </is>
      </c>
      <c r="C7" s="11" t="n"/>
      <c r="D7">
        <f>IF(C7=B7,"Correcto","Revisar")</f>
        <v/>
      </c>
    </row>
    <row r="8">
      <c r="A8" t="inlineStr">
        <is>
          <t>Formulas consistentes</t>
        </is>
      </c>
      <c r="B8" t="inlineStr">
        <is>
          <t>Si</t>
        </is>
      </c>
      <c r="C8" s="11" t="n"/>
      <c r="D8">
        <f>IF(C8=B8,"Correcto","Revisar")</f>
        <v/>
      </c>
    </row>
    <row r="9">
      <c r="A9" t="inlineStr">
        <is>
          <t>Formato legible</t>
        </is>
      </c>
      <c r="B9" t="inlineStr">
        <is>
          <t>Si</t>
        </is>
      </c>
      <c r="C9" s="11" t="n"/>
      <c r="D9">
        <f>IF(C9=B9,"Correcto","Revisar")</f>
        <v/>
      </c>
    </row>
    <row r="10">
      <c r="A10" t="inlineStr">
        <is>
          <t>Accesibilidad revisada</t>
        </is>
      </c>
      <c r="B10" t="inlineStr">
        <is>
          <t>Si</t>
        </is>
      </c>
      <c r="C10" s="11" t="n"/>
      <c r="D10">
        <f>IF(C10=B10,"Correcto","Revisar")</f>
        <v/>
      </c>
    </row>
    <row r="11">
      <c r="A11" t="inlineStr">
        <is>
          <t>Proteccion comprobada</t>
        </is>
      </c>
      <c r="B11" t="inlineStr">
        <is>
          <t>Si</t>
        </is>
      </c>
      <c r="C11" s="11" t="n"/>
      <c r="D11">
        <f>IF(C11=B11,"Correcto","Revisar")</f>
        <v/>
      </c>
    </row>
    <row r="12">
      <c r="A12" t="inlineStr">
        <is>
          <t>Entrega documentada</t>
        </is>
      </c>
      <c r="B12" t="inlineStr">
        <is>
          <t>Si</t>
        </is>
      </c>
      <c r="C12" s="11" t="n"/>
      <c r="D12">
        <f>IF(C12=B12,"Correcto","Revisar")</f>
        <v/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2026-09-02T03:35:56Z</dcterms:created>
  <dcterms:modified xmlns:dcterms="http://purl.org/dc/terms/" xmlns:xsi="http://www.w3.org/2001/XMLSchema-instance" xsi:type="dcterms:W3CDTF">2026-09-02T03:35:56Z</dcterms:modified>
</cp:coreProperties>
</file>