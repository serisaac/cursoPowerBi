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cion" sheetId="1" state="visible" r:id="rId1"/>
    <sheet xmlns:r="http://schemas.openxmlformats.org/officeDocument/2006/relationships" name="Resultado_Correcto" sheetId="2" state="visible" r:id="rId2"/>
    <sheet xmlns:r="http://schemas.openxmlformats.org/officeDocument/2006/relationships" name="Control" sheetId="3" state="visible" r:id="rId3"/>
    <sheet xmlns:r="http://schemas.openxmlformats.org/officeDocument/2006/relationships" name="Resumen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6" borderId="0" pivotButton="0" quotePrefix="0" xfId="0"/>
    <xf numFmtId="0" fontId="3" fillId="5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ResultadoCorrecto" displayName="TablaResultadoCorrecto" ref="A4:L34" headerRowCount="1">
  <autoFilter ref="A4:L34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18 - Solucion</t>
        </is>
      </c>
    </row>
    <row r="2">
      <c r="A2" s="2" t="inlineStr">
        <is>
          <t>Proyecto integrador y evaluacion final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Este archivo presenta una posible solución y criterios de comprobación.</t>
        </is>
      </c>
    </row>
    <row r="6">
      <c r="A6" t="n">
        <v>2</v>
      </c>
      <c r="B6" s="4" t="inlineStr">
        <is>
          <t>Compare formulas, conteos, formatos y controles con su archivo candidato.</t>
        </is>
      </c>
    </row>
    <row r="7">
      <c r="A7" t="n">
        <v>3</v>
      </c>
      <c r="B7" s="4" t="inlineStr">
        <is>
          <t>Las celdas verdes representan resultados correctos y las naranjas puntos de revisión.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8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14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1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2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1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5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4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2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18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17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17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5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9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19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9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7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9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17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5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2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  <row r="29">
      <c r="A29" t="inlineStr">
        <is>
          <t>V-2026-0025</t>
        </is>
      </c>
      <c r="B29" t="inlineStr">
        <is>
          <t>2026-08-25</t>
        </is>
      </c>
      <c r="C29" t="inlineStr">
        <is>
          <t>Centro</t>
        </is>
      </c>
      <c r="D29" t="inlineStr">
        <is>
          <t>0001</t>
        </is>
      </c>
      <c r="E29" t="inlineStr">
        <is>
          <t>Monitor</t>
        </is>
      </c>
      <c r="F29" s="6" t="n">
        <v>6</v>
      </c>
      <c r="G29" s="7" t="n">
        <v>3500</v>
      </c>
      <c r="H29" s="8" t="n">
        <v>0.05</v>
      </c>
      <c r="I29" t="inlineStr">
        <is>
          <t>En revision</t>
        </is>
      </c>
      <c r="J29" t="inlineStr">
        <is>
          <t>Registro 25</t>
        </is>
      </c>
      <c r="K29" s="9">
        <f>F29*G29*(1-H29)</f>
        <v/>
      </c>
      <c r="L29">
        <f>IF(A29="","Error","OK")</f>
        <v/>
      </c>
    </row>
    <row r="30">
      <c r="A30" t="inlineStr">
        <is>
          <t>V-2026-0026</t>
        </is>
      </c>
      <c r="B30" t="inlineStr">
        <is>
          <t>2026-08-26</t>
        </is>
      </c>
      <c r="C30" t="inlineStr">
        <is>
          <t>Sur</t>
        </is>
      </c>
      <c r="D30" t="inlineStr">
        <is>
          <t>0002</t>
        </is>
      </c>
      <c r="E30" t="inlineStr">
        <is>
          <t>Teclado</t>
        </is>
      </c>
      <c r="F30" s="6" t="n">
        <v>2</v>
      </c>
      <c r="G30" s="7" t="n">
        <v>850</v>
      </c>
      <c r="H30" s="8" t="n">
        <v>0.1</v>
      </c>
      <c r="I30" t="inlineStr">
        <is>
          <t>Aprobado</t>
        </is>
      </c>
      <c r="J30" t="inlineStr">
        <is>
          <t>Registro 26</t>
        </is>
      </c>
      <c r="K30" s="9">
        <f>F30*G30*(1-H30)</f>
        <v/>
      </c>
      <c r="L30">
        <f>IF(A30="","Error","OK")</f>
        <v/>
      </c>
    </row>
    <row r="31">
      <c r="A31" t="inlineStr">
        <is>
          <t>V-2026-0027</t>
        </is>
      </c>
      <c r="B31" t="inlineStr">
        <is>
          <t>2026-08-27</t>
        </is>
      </c>
      <c r="C31" t="inlineStr">
        <is>
          <t>Pacifico</t>
        </is>
      </c>
      <c r="D31" t="inlineStr">
        <is>
          <t>0003</t>
        </is>
      </c>
      <c r="E31" t="inlineStr">
        <is>
          <t>Mouse</t>
        </is>
      </c>
      <c r="F31" s="6" t="n">
        <v>4</v>
      </c>
      <c r="G31" s="7" t="n">
        <v>450</v>
      </c>
      <c r="H31" s="8" t="n">
        <v>0.15</v>
      </c>
      <c r="I31" t="inlineStr">
        <is>
          <t>Pendiente</t>
        </is>
      </c>
      <c r="J31" t="inlineStr">
        <is>
          <t>Registro 27</t>
        </is>
      </c>
      <c r="K31" s="9">
        <f>F31*G31*(1-H31)</f>
        <v/>
      </c>
      <c r="L31">
        <f>IF(A31="","Error","OK")</f>
        <v/>
      </c>
    </row>
    <row r="32">
      <c r="A32" t="inlineStr">
        <is>
          <t>V-2026-0028</t>
        </is>
      </c>
      <c r="B32" t="inlineStr">
        <is>
          <t>2026-08-28</t>
        </is>
      </c>
      <c r="C32" t="inlineStr">
        <is>
          <t>Norte</t>
        </is>
      </c>
      <c r="D32" t="inlineStr">
        <is>
          <t>0004</t>
        </is>
      </c>
      <c r="E32" t="inlineStr">
        <is>
          <t>Laptop</t>
        </is>
      </c>
      <c r="F32" s="6" t="n">
        <v>2</v>
      </c>
      <c r="G32" s="7" t="n">
        <v>15500</v>
      </c>
      <c r="H32" s="8" t="n">
        <v>0</v>
      </c>
      <c r="I32" t="inlineStr">
        <is>
          <t>En revision</t>
        </is>
      </c>
      <c r="J32" t="inlineStr">
        <is>
          <t>Registro 28</t>
        </is>
      </c>
      <c r="K32" s="9">
        <f>F32*G32*(1-H32)</f>
        <v/>
      </c>
      <c r="L32">
        <f>IF(A32="","Error","OK")</f>
        <v/>
      </c>
    </row>
    <row r="33">
      <c r="A33" t="inlineStr">
        <is>
          <t>V-2026-0029</t>
        </is>
      </c>
      <c r="B33" t="inlineStr">
        <is>
          <t>2026-08-01</t>
        </is>
      </c>
      <c r="C33" t="inlineStr">
        <is>
          <t>Centro</t>
        </is>
      </c>
      <c r="D33" t="inlineStr">
        <is>
          <t>0001</t>
        </is>
      </c>
      <c r="E33" t="inlineStr">
        <is>
          <t>Monitor</t>
        </is>
      </c>
      <c r="F33" s="6" t="n">
        <v>5</v>
      </c>
      <c r="G33" s="7" t="n">
        <v>3500</v>
      </c>
      <c r="H33" s="8" t="n">
        <v>0.05</v>
      </c>
      <c r="I33" t="inlineStr">
        <is>
          <t>Aprobado</t>
        </is>
      </c>
      <c r="J33" t="inlineStr">
        <is>
          <t>Registro 29</t>
        </is>
      </c>
      <c r="K33" s="9">
        <f>F33*G33*(1-H33)</f>
        <v/>
      </c>
      <c r="L33">
        <f>IF(A33="","Error","OK")</f>
        <v/>
      </c>
    </row>
    <row r="34">
      <c r="A34" t="inlineStr">
        <is>
          <t>V-2026-0030</t>
        </is>
      </c>
      <c r="B34" t="inlineStr">
        <is>
          <t>2026-08-02</t>
        </is>
      </c>
      <c r="C34" t="inlineStr">
        <is>
          <t>Sur</t>
        </is>
      </c>
      <c r="D34" t="inlineStr">
        <is>
          <t>0002</t>
        </is>
      </c>
      <c r="E34" t="inlineStr">
        <is>
          <t>Teclado</t>
        </is>
      </c>
      <c r="F34" s="6" t="n">
        <v>17</v>
      </c>
      <c r="G34" s="7" t="n">
        <v>850</v>
      </c>
      <c r="H34" s="8" t="n">
        <v>0.1</v>
      </c>
      <c r="I34" t="inlineStr">
        <is>
          <t>Pendiente</t>
        </is>
      </c>
      <c r="J34" t="inlineStr">
        <is>
          <t>Registro 30</t>
        </is>
      </c>
      <c r="K34" s="9">
        <f>F34*G34*(1-H34)</f>
        <v/>
      </c>
      <c r="L34">
        <f>IF(A34="","Error","OK")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18: Proyecto integrador y evaluacion final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inlineStr">
        <is>
          <t>Si</t>
        </is>
      </c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inlineStr">
        <is>
          <t>Si</t>
        </is>
      </c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inlineStr">
        <is>
          <t>Si</t>
        </is>
      </c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inlineStr">
        <is>
          <t>Si</t>
        </is>
      </c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inlineStr">
        <is>
          <t>Si</t>
        </is>
      </c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inlineStr">
        <is>
          <t>Si</t>
        </is>
      </c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inlineStr">
        <is>
          <t>Si</t>
        </is>
      </c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inlineStr">
        <is>
          <t>Si</t>
        </is>
      </c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Resumen de resultados</t>
        </is>
      </c>
    </row>
    <row r="2">
      <c r="A2" s="2" t="inlineStr">
        <is>
          <t>Proyecto integrador y evaluacion final</t>
        </is>
      </c>
    </row>
    <row r="4">
      <c r="A4" s="12" t="inlineStr">
        <is>
          <t>Indicador</t>
        </is>
      </c>
      <c r="B4" s="12" t="inlineStr">
        <is>
          <t>Valor</t>
        </is>
      </c>
    </row>
    <row r="5">
      <c r="A5" t="inlineStr">
        <is>
          <t>Registros</t>
        </is>
      </c>
      <c r="B5">
        <f>COUNTA(Resultado_Correcto!A5:A34)</f>
        <v/>
      </c>
    </row>
    <row r="6">
      <c r="A6" t="inlineStr">
        <is>
          <t>Venta total</t>
        </is>
      </c>
      <c r="B6" s="13">
        <f>SUM(Resultado_Correcto!K5:K34)</f>
        <v/>
      </c>
    </row>
    <row r="7">
      <c r="A7" t="inlineStr">
        <is>
          <t>Errores esperados</t>
        </is>
      </c>
      <c r="B7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2026-09-02T03:36:06Z</dcterms:created>
  <dcterms:modified xmlns:dcterms="http://purl.org/dc/terms/" xmlns:xsi="http://www.w3.org/2001/XMLSchema-instance" xsi:type="dcterms:W3CDTF">2026-09-02T03:36:06Z</dcterms:modified>
</cp:coreProperties>
</file>