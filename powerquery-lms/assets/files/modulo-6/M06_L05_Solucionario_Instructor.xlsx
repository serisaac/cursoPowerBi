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d.docs.live.net/c421c8c8460e1e06/Escritorio/DOCUMENTACION PLATAFORMA/Modulo 6/Modulo 6 Archivos de trabajo/"/>
    </mc:Choice>
  </mc:AlternateContent>
  <xr:revisionPtr revIDLastSave="2" documentId="11_086C90D0F48292C41116A55161273BC36B4D2476" xr6:coauthVersionLast="47" xr6:coauthVersionMax="47" xr10:uidLastSave="{34B4BF58-C7D0-4891-961B-A58EF9EA7031}"/>
  <bookViews>
    <workbookView xWindow="-108" yWindow="-108" windowWidth="30936" windowHeight="12456" xr2:uid="{00000000-000D-0000-FFFF-FFFF00000000}"/>
  </bookViews>
  <sheets>
    <sheet name="Instrucciones" sheetId="1" r:id="rId1"/>
    <sheet name="Resultado_Esperado" sheetId="2" r:id="rId2"/>
    <sheet name="Contro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7" i="3"/>
  <c r="D6" i="3"/>
  <c r="D5" i="3"/>
  <c r="D4" i="3"/>
</calcChain>
</file>

<file path=xl/sharedStrings.xml><?xml version="1.0" encoding="utf-8"?>
<sst xmlns="http://schemas.openxmlformats.org/spreadsheetml/2006/main" count="84" uniqueCount="56">
  <si>
    <t>Modulo 6 | Leccion 5</t>
  </si>
  <si>
    <t>Solucionario del instructor: Preparacion de claves</t>
  </si>
  <si>
    <t>No.</t>
  </si>
  <si>
    <t>Actividad</t>
  </si>
  <si>
    <t>Evidencia</t>
  </si>
  <si>
    <t>Resultado esperado y controles para retroalimentacion posterior.</t>
  </si>
  <si>
    <t>Completar en Power Query y documentar el resultado</t>
  </si>
  <si>
    <t>No entregar antes de que el participante complete su intento.</t>
  </si>
  <si>
    <t>Resultado esperado</t>
  </si>
  <si>
    <t>Movimiento</t>
  </si>
  <si>
    <t>Fecha</t>
  </si>
  <si>
    <t>ClaveOriginal</t>
  </si>
  <si>
    <t>ClavePreparada</t>
  </si>
  <si>
    <t>Cantidad</t>
  </si>
  <si>
    <t>Unidad</t>
  </si>
  <si>
    <t>Estado</t>
  </si>
  <si>
    <t>Descripcion</t>
  </si>
  <si>
    <t>MOV-0001</t>
  </si>
  <si>
    <t>MAT-00125</t>
  </si>
  <si>
    <t>PZA</t>
  </si>
  <si>
    <t>Coincide</t>
  </si>
  <si>
    <t>Material de empaque A</t>
  </si>
  <si>
    <t>MOV-0002</t>
  </si>
  <si>
    <t>MAT-00126</t>
  </si>
  <si>
    <t>Material de empaque B</t>
  </si>
  <si>
    <t>MOV-0003</t>
  </si>
  <si>
    <t>MAT-00127</t>
  </si>
  <si>
    <t>KG</t>
  </si>
  <si>
    <t>Materia prima C</t>
  </si>
  <si>
    <t>MOV-0004</t>
  </si>
  <si>
    <t>MAT-00999</t>
  </si>
  <si>
    <t>Sin coincidencia</t>
  </si>
  <si>
    <t>MOV-0005</t>
  </si>
  <si>
    <t>Clave no evaluable</t>
  </si>
  <si>
    <t>MOV-0006</t>
  </si>
  <si>
    <t xml:space="preserve"> mat-00125 </t>
  </si>
  <si>
    <t>MOV-0007</t>
  </si>
  <si>
    <t xml:space="preserve">MAT-00128 </t>
  </si>
  <si>
    <t>MAT-00128</t>
  </si>
  <si>
    <t>Materia prima D</t>
  </si>
  <si>
    <t>MOV-0008</t>
  </si>
  <si>
    <t>MAT-00129</t>
  </si>
  <si>
    <t>Refaccion E</t>
  </si>
  <si>
    <t>MOV-0009</t>
  </si>
  <si>
    <t>MAT-00130</t>
  </si>
  <si>
    <t>Insumo F</t>
  </si>
  <si>
    <t>MOV-0010</t>
  </si>
  <si>
    <t>G</t>
  </si>
  <si>
    <t>Controles y conciliacion</t>
  </si>
  <si>
    <t>Control</t>
  </si>
  <si>
    <t>Esperado</t>
  </si>
  <si>
    <t>Obtenido</t>
  </si>
  <si>
    <t>Registros originales</t>
  </si>
  <si>
    <t>Coincidentes</t>
  </si>
  <si>
    <t>Claves no evaluables</t>
  </si>
  <si>
    <t>Diferencia sin explicar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</si>
</sst>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7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rgb="FF7030A0"/>
      <name val="Calibri"/>
      <family val="2"/>
    </font>
    <font>
      <sz val="11"/>
      <color rgb="FF0000FF"/>
      <name val="Calibri"/>
      <family val="2"/>
    </font>
    <font>
      <sz val="11"/>
      <color rgb="FF008000"/>
      <name val="Calibri"/>
      <family val="2"/>
    </font>
    <font>
      <sz val="11"/>
      <color rgb="FF66666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0" xfId="0" applyFont="1" applyFill="1"/>
    <xf numFmtId="0" fontId="4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 wrapText="1"/>
    </xf>
    <xf numFmtId="0" fontId="6" fillId="0" borderId="0" xfId="0" applyFont="1" applyAlignment="1">
      <alignment vertical="center" wrapText="1"/>
    </xf>
    <xf numFmtId="14" fontId="6" fillId="0" borderId="0" xfId="0" applyNumberFormat="1" applyFont="1" applyAlignment="1">
      <alignment vertical="center" wrapText="1"/>
    </xf>
    <xf numFmtId="0" fontId="7" fillId="0" borderId="0" xfId="0" applyFont="1"/>
    <xf numFmtId="0" fontId="5" fillId="0" borderId="0" xfId="0" applyFont="1"/>
    <xf numFmtId="0" fontId="2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6DB6942-90D1-4F9A-AEDD-043E956D48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ol5" displayName="tblSol5" ref="A3:H13">
  <autoFilter ref="A3:H13" xr:uid="{00000000-0009-0000-0100-000001000000}"/>
  <tableColumns count="8">
    <tableColumn id="1" xr3:uid="{00000000-0010-0000-0000-000001000000}" name="Movimiento"/>
    <tableColumn id="2" xr3:uid="{00000000-0010-0000-0000-000002000000}" name="Fecha"/>
    <tableColumn id="3" xr3:uid="{00000000-0010-0000-0000-000003000000}" name="ClaveOriginal"/>
    <tableColumn id="4" xr3:uid="{00000000-0010-0000-0000-000004000000}" name="ClavePreparada"/>
    <tableColumn id="5" xr3:uid="{00000000-0010-0000-0000-000005000000}" name="Cantidad"/>
    <tableColumn id="6" xr3:uid="{00000000-0010-0000-0000-000006000000}" name="Unidad"/>
    <tableColumn id="7" xr3:uid="{00000000-0010-0000-0000-000007000000}" name="Estado"/>
    <tableColumn id="8" xr3:uid="{00000000-0010-0000-0000-000008000000}" name="Descrip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showGridLines="0" tabSelected="1" workbookViewId="0">
      <selection sqref="A1:H1"/>
    </sheetView>
  </sheetViews>
  <sheetFormatPr baseColWidth="10" defaultColWidth="8.88671875" defaultRowHeight="14.4" x14ac:dyDescent="0.3"/>
  <cols>
    <col min="1" max="1" width="8" customWidth="1"/>
    <col min="2" max="2" width="65" customWidth="1"/>
    <col min="3" max="3" width="42" customWidth="1"/>
  </cols>
  <sheetData>
    <row r="1" spans="1:8" ht="28.05" customHeight="1" x14ac:dyDescent="0.3">
      <c r="A1" s="12" t="s">
        <v>0</v>
      </c>
      <c r="B1" s="11"/>
      <c r="C1" s="11"/>
      <c r="D1" s="11"/>
      <c r="E1" s="11"/>
      <c r="F1" s="11"/>
      <c r="G1" s="11"/>
      <c r="H1" s="11"/>
    </row>
    <row r="2" spans="1:8" ht="24" customHeight="1" x14ac:dyDescent="0.3">
      <c r="A2" s="10" t="s">
        <v>1</v>
      </c>
      <c r="B2" s="11"/>
      <c r="C2" s="11"/>
      <c r="D2" s="11"/>
      <c r="E2" s="11"/>
      <c r="F2" s="11"/>
      <c r="G2" s="11"/>
      <c r="H2" s="11"/>
    </row>
    <row r="4" spans="1:8" x14ac:dyDescent="0.3">
      <c r="A4" s="1" t="s">
        <v>2</v>
      </c>
      <c r="B4" s="1" t="s">
        <v>3</v>
      </c>
      <c r="C4" s="1" t="s">
        <v>4</v>
      </c>
    </row>
    <row r="5" spans="1:8" ht="28.8" x14ac:dyDescent="0.3">
      <c r="A5" s="2">
        <v>1</v>
      </c>
      <c r="B5" s="3" t="s">
        <v>5</v>
      </c>
      <c r="C5" s="4" t="s">
        <v>6</v>
      </c>
    </row>
    <row r="6" spans="1:8" ht="28.8" x14ac:dyDescent="0.3">
      <c r="A6" s="2">
        <v>2</v>
      </c>
      <c r="B6" s="3" t="s">
        <v>7</v>
      </c>
      <c r="C6" s="4" t="s">
        <v>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15" customWidth="1"/>
    <col min="2" max="2" width="13" customWidth="1"/>
    <col min="3" max="3" width="18" customWidth="1"/>
    <col min="4" max="4" width="19" customWidth="1"/>
    <col min="5" max="7" width="13" customWidth="1"/>
    <col min="8" max="8" width="16" customWidth="1"/>
  </cols>
  <sheetData>
    <row r="1" spans="1:8" ht="28.05" customHeight="1" x14ac:dyDescent="0.3">
      <c r="A1" s="12" t="s">
        <v>8</v>
      </c>
      <c r="B1" s="11"/>
      <c r="C1" s="11"/>
      <c r="D1" s="11"/>
      <c r="E1" s="11"/>
      <c r="F1" s="11"/>
      <c r="G1" s="11"/>
      <c r="H1" s="11"/>
    </row>
    <row r="3" spans="1:8" x14ac:dyDescent="0.3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spans="1:8" ht="28.8" x14ac:dyDescent="0.3">
      <c r="A4" s="6" t="s">
        <v>17</v>
      </c>
      <c r="B4" s="7">
        <v>46235</v>
      </c>
      <c r="C4" s="6" t="s">
        <v>18</v>
      </c>
      <c r="D4" s="6" t="s">
        <v>18</v>
      </c>
      <c r="E4" s="6">
        <v>20</v>
      </c>
      <c r="F4" s="6" t="s">
        <v>19</v>
      </c>
      <c r="G4" s="6" t="s">
        <v>20</v>
      </c>
      <c r="H4" s="6" t="s">
        <v>21</v>
      </c>
    </row>
    <row r="5" spans="1:8" ht="28.8" x14ac:dyDescent="0.3">
      <c r="A5" s="6" t="s">
        <v>22</v>
      </c>
      <c r="B5" s="7">
        <v>46235</v>
      </c>
      <c r="C5" s="6" t="s">
        <v>23</v>
      </c>
      <c r="D5" s="6" t="s">
        <v>23</v>
      </c>
      <c r="E5" s="6">
        <v>15</v>
      </c>
      <c r="F5" s="6" t="s">
        <v>19</v>
      </c>
      <c r="G5" s="6" t="s">
        <v>20</v>
      </c>
      <c r="H5" s="6" t="s">
        <v>24</v>
      </c>
    </row>
    <row r="6" spans="1:8" x14ac:dyDescent="0.3">
      <c r="A6" s="6" t="s">
        <v>25</v>
      </c>
      <c r="B6" s="7">
        <v>46236</v>
      </c>
      <c r="C6" s="6" t="s">
        <v>26</v>
      </c>
      <c r="D6" s="6" t="s">
        <v>26</v>
      </c>
      <c r="E6" s="6">
        <v>40</v>
      </c>
      <c r="F6" s="6" t="s">
        <v>27</v>
      </c>
      <c r="G6" s="6" t="s">
        <v>20</v>
      </c>
      <c r="H6" s="6" t="s">
        <v>28</v>
      </c>
    </row>
    <row r="7" spans="1:8" ht="28.8" x14ac:dyDescent="0.3">
      <c r="A7" s="6" t="s">
        <v>29</v>
      </c>
      <c r="B7" s="7">
        <v>46236</v>
      </c>
      <c r="C7" s="6" t="s">
        <v>30</v>
      </c>
      <c r="D7" s="6" t="s">
        <v>30</v>
      </c>
      <c r="E7" s="6">
        <v>12</v>
      </c>
      <c r="F7" s="6" t="s">
        <v>19</v>
      </c>
      <c r="G7" s="6" t="s">
        <v>31</v>
      </c>
      <c r="H7" s="6"/>
    </row>
    <row r="8" spans="1:8" ht="28.8" x14ac:dyDescent="0.3">
      <c r="A8" s="6" t="s">
        <v>32</v>
      </c>
      <c r="B8" s="7">
        <v>46237</v>
      </c>
      <c r="C8" s="6"/>
      <c r="D8" s="6"/>
      <c r="E8" s="6">
        <v>8</v>
      </c>
      <c r="F8" s="6" t="s">
        <v>27</v>
      </c>
      <c r="G8" s="6" t="s">
        <v>33</v>
      </c>
      <c r="H8" s="6"/>
    </row>
    <row r="9" spans="1:8" ht="28.8" x14ac:dyDescent="0.3">
      <c r="A9" s="6" t="s">
        <v>34</v>
      </c>
      <c r="B9" s="7">
        <v>46237</v>
      </c>
      <c r="C9" s="6" t="s">
        <v>35</v>
      </c>
      <c r="D9" s="6" t="s">
        <v>18</v>
      </c>
      <c r="E9" s="6">
        <v>10</v>
      </c>
      <c r="F9" s="6" t="s">
        <v>19</v>
      </c>
      <c r="G9" s="6" t="s">
        <v>20</v>
      </c>
      <c r="H9" s="6" t="s">
        <v>21</v>
      </c>
    </row>
    <row r="10" spans="1:8" x14ac:dyDescent="0.3">
      <c r="A10" s="6" t="s">
        <v>36</v>
      </c>
      <c r="B10" s="7">
        <v>46238</v>
      </c>
      <c r="C10" s="6" t="s">
        <v>37</v>
      </c>
      <c r="D10" s="6" t="s">
        <v>38</v>
      </c>
      <c r="E10" s="6">
        <v>5</v>
      </c>
      <c r="F10" s="6" t="s">
        <v>27</v>
      </c>
      <c r="G10" s="6" t="s">
        <v>20</v>
      </c>
      <c r="H10" s="6" t="s">
        <v>39</v>
      </c>
    </row>
    <row r="11" spans="1:8" x14ac:dyDescent="0.3">
      <c r="A11" s="6" t="s">
        <v>40</v>
      </c>
      <c r="B11" s="7">
        <v>46238</v>
      </c>
      <c r="C11" s="6" t="s">
        <v>41</v>
      </c>
      <c r="D11" s="6" t="s">
        <v>41</v>
      </c>
      <c r="E11" s="6">
        <v>25</v>
      </c>
      <c r="F11" s="6" t="s">
        <v>19</v>
      </c>
      <c r="G11" s="6" t="s">
        <v>20</v>
      </c>
      <c r="H11" s="6" t="s">
        <v>42</v>
      </c>
    </row>
    <row r="12" spans="1:8" x14ac:dyDescent="0.3">
      <c r="A12" s="6" t="s">
        <v>43</v>
      </c>
      <c r="B12" s="7">
        <v>46239</v>
      </c>
      <c r="C12" s="6" t="s">
        <v>44</v>
      </c>
      <c r="D12" s="6" t="s">
        <v>44</v>
      </c>
      <c r="E12" s="6">
        <v>7</v>
      </c>
      <c r="F12" s="6" t="s">
        <v>27</v>
      </c>
      <c r="G12" s="6" t="s">
        <v>20</v>
      </c>
      <c r="H12" s="6" t="s">
        <v>45</v>
      </c>
    </row>
    <row r="13" spans="1:8" x14ac:dyDescent="0.3">
      <c r="A13" s="6" t="s">
        <v>46</v>
      </c>
      <c r="B13" s="7">
        <v>46239</v>
      </c>
      <c r="C13" s="6" t="s">
        <v>26</v>
      </c>
      <c r="D13" s="6" t="s">
        <v>26</v>
      </c>
      <c r="E13" s="6">
        <v>3000</v>
      </c>
      <c r="F13" s="6" t="s">
        <v>47</v>
      </c>
      <c r="G13" s="6" t="s">
        <v>20</v>
      </c>
      <c r="H13" s="6" t="s">
        <v>28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showGridLines="0" workbookViewId="0"/>
  </sheetViews>
  <sheetFormatPr baseColWidth="10" defaultColWidth="8.88671875" defaultRowHeight="14.4" x14ac:dyDescent="0.3"/>
  <cols>
    <col min="1" max="1" width="44" customWidth="1"/>
    <col min="2" max="3" width="17" customWidth="1"/>
    <col min="4" max="4" width="16" customWidth="1"/>
  </cols>
  <sheetData>
    <row r="1" spans="1:8" ht="28.05" customHeight="1" x14ac:dyDescent="0.3">
      <c r="A1" s="12" t="s">
        <v>48</v>
      </c>
      <c r="B1" s="11"/>
      <c r="C1" s="11"/>
      <c r="D1" s="11"/>
      <c r="E1" s="11"/>
      <c r="F1" s="11"/>
      <c r="G1" s="11"/>
      <c r="H1" s="11"/>
    </row>
    <row r="3" spans="1:8" x14ac:dyDescent="0.3">
      <c r="A3" s="1" t="s">
        <v>49</v>
      </c>
      <c r="B3" s="1" t="s">
        <v>50</v>
      </c>
      <c r="C3" s="1" t="s">
        <v>51</v>
      </c>
      <c r="D3" s="1" t="s">
        <v>15</v>
      </c>
    </row>
    <row r="4" spans="1:8" x14ac:dyDescent="0.3">
      <c r="A4" t="s">
        <v>52</v>
      </c>
      <c r="B4" s="8">
        <v>10</v>
      </c>
      <c r="C4" s="9"/>
      <c r="D4" t="str">
        <f>IF(C4="","Pendiente",IF(C4=B4,"Correcto","Revisar"))</f>
        <v>Pendiente</v>
      </c>
    </row>
    <row r="5" spans="1:8" x14ac:dyDescent="0.3">
      <c r="A5" t="s">
        <v>53</v>
      </c>
      <c r="B5" s="8">
        <v>8</v>
      </c>
      <c r="C5" s="9"/>
      <c r="D5" t="str">
        <f>IF(C5="","Pendiente",IF(C5=B5,"Correcto","Revisar"))</f>
        <v>Pendiente</v>
      </c>
    </row>
    <row r="6" spans="1:8" x14ac:dyDescent="0.3">
      <c r="A6" t="s">
        <v>31</v>
      </c>
      <c r="B6" s="8">
        <v>1</v>
      </c>
      <c r="C6" s="9"/>
      <c r="D6" t="str">
        <f>IF(C6="","Pendiente",IF(C6=B6,"Correcto","Revisar"))</f>
        <v>Pendiente</v>
      </c>
    </row>
    <row r="7" spans="1:8" x14ac:dyDescent="0.3">
      <c r="A7" t="s">
        <v>54</v>
      </c>
      <c r="B7" s="8">
        <v>1</v>
      </c>
      <c r="C7" s="9"/>
      <c r="D7" t="str">
        <f>IF(C7="","Pendiente",IF(C7=B7,"Correcto","Revisar"))</f>
        <v>Pendiente</v>
      </c>
    </row>
    <row r="8" spans="1:8" x14ac:dyDescent="0.3">
      <c r="A8" t="s">
        <v>55</v>
      </c>
      <c r="B8" s="8">
        <v>0</v>
      </c>
      <c r="C8" s="9"/>
      <c r="D8" t="str">
        <f>IF(C8="","Pendiente",IF(C8=B8,"Correcto","Revisar"))</f>
        <v>Pendiente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Resultado_Esperado</vt:lpstr>
      <vt:lpstr>Controles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Antonio Moreno Banda</cp:lastModifiedBy>
  <dcterms:created xsi:type="dcterms:W3CDTF">2026-08-30T02:00:15Z</dcterms:created>
  <dcterms:modified xsi:type="dcterms:W3CDTF">2026-08-30T03:43:45Z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9b1eaa7d-65a5-4b28-b395-cd682a8e8762</vt:lpwstr>
  </property>
</Properties>
</file>