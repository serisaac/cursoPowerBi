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  <sheet xmlns:r="http://schemas.openxmlformats.org/officeDocument/2006/relationships" name="11_Guia_Solucion" sheetId="7" state="visible" r:id="rId7"/>
    <sheet xmlns:r="http://schemas.openxmlformats.org/officeDocument/2006/relationships" name="08_Duplicados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OperacionesL16" displayName="tblOperacionesL16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16</t>
        </is>
      </c>
    </row>
    <row r="2">
      <c r="A2" s="2" t="inlineStr">
        <is>
          <t>Registros unicos, duplicados y eliminacion controlada</t>
        </is>
      </c>
    </row>
    <row r="4">
      <c r="A4" s="3" t="inlineStr">
        <is>
          <t>Tipo de archivo</t>
        </is>
      </c>
      <c r="B4" t="inlineStr">
        <is>
          <t>Solucion de referencia</t>
        </is>
      </c>
    </row>
    <row r="5">
      <c r="A5" s="3" t="inlineStr">
        <is>
          <t>Objetivo</t>
        </is>
      </c>
      <c r="B5" t="inlineStr">
        <is>
          <t>Registros unicos, duplicados y eliminacion controlada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16</t>
        </is>
      </c>
    </row>
    <row r="2">
      <c r="A2" s="2" t="inlineStr">
        <is>
          <t>Registros unicos, duplicados y eliminacion controlada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Resuelto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Resuelto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Resuelto</t>
        </is>
      </c>
      <c r="E6" t="n">
        <v>12.5</v>
      </c>
    </row>
    <row r="7">
      <c r="A7" t="inlineStr">
        <is>
          <t>T-04</t>
        </is>
      </c>
      <c r="B7" t="inlineStr">
        <is>
          <t>Defina una clave compuesta.</t>
        </is>
      </c>
      <c r="C7" t="inlineStr">
        <is>
          <t>Captura, formula o registro</t>
        </is>
      </c>
      <c r="D7" s="10" t="inlineStr">
        <is>
          <t>Resuelto</t>
        </is>
      </c>
      <c r="E7" t="n">
        <v>12.5</v>
      </c>
    </row>
    <row r="8">
      <c r="A8" t="inlineStr">
        <is>
          <t>T-05</t>
        </is>
      </c>
      <c r="B8" t="inlineStr">
        <is>
          <t>Clasifique duplicados, falsos positivos y reversiones.</t>
        </is>
      </c>
      <c r="C8" t="inlineStr">
        <is>
          <t>Captura, formula o registro</t>
        </is>
      </c>
      <c r="D8" s="10" t="inlineStr">
        <is>
          <t>Resuelto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Resuelto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Resuelto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Resuelto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>
        <f>O2*P2</f>
        <v/>
      </c>
      <c r="X2" s="14">
        <f>W2*Q2</f>
        <v/>
      </c>
      <c r="Y2" s="14">
        <f>W2-X2</f>
        <v/>
      </c>
      <c r="Z2" s="14">
        <f>O2*R2</f>
        <v/>
      </c>
      <c r="AA2" s="14">
        <f>Y2-Z2</f>
        <v/>
      </c>
      <c r="AB2" s="15">
        <f>IF(Y2=0,0,AA2/Y2)</f>
        <v/>
      </c>
      <c r="AC2">
        <f>MAX(0,T2-S2)</f>
        <v/>
      </c>
      <c r="AD2">
        <f>UPPER(TRIM(J2))&amp;"|"&amp;UPPER(TRIM(B2))&amp;"|"&amp;TEXT(C2,"yyyymmdd")&amp;"|"&amp;UPPER(TRIM(G2))</f>
        <v/>
      </c>
      <c r="AE2">
        <f>COUNTIF($AD$2:$AD$121,AD2)</f>
        <v/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>
        <f>O3*P3</f>
        <v/>
      </c>
      <c r="X3" s="14">
        <f>W3*Q3</f>
        <v/>
      </c>
      <c r="Y3" s="14">
        <f>W3-X3</f>
        <v/>
      </c>
      <c r="Z3" s="14">
        <f>O3*R3</f>
        <v/>
      </c>
      <c r="AA3" s="14">
        <f>Y3-Z3</f>
        <v/>
      </c>
      <c r="AB3" s="15">
        <f>IF(Y3=0,0,AA3/Y3)</f>
        <v/>
      </c>
      <c r="AC3">
        <f>MAX(0,T3-S3)</f>
        <v/>
      </c>
      <c r="AD3">
        <f>UPPER(TRIM(J3))&amp;"|"&amp;UPPER(TRIM(B3))&amp;"|"&amp;TEXT(C3,"yyyymmdd")&amp;"|"&amp;UPPER(TRIM(G3))</f>
        <v/>
      </c>
      <c r="AE3">
        <f>COUNTIF($AD$2:$AD$121,AD3)</f>
        <v/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>
        <f>O4*P4</f>
        <v/>
      </c>
      <c r="X4" s="14">
        <f>W4*Q4</f>
        <v/>
      </c>
      <c r="Y4" s="14">
        <f>W4-X4</f>
        <v/>
      </c>
      <c r="Z4" s="14">
        <f>O4*R4</f>
        <v/>
      </c>
      <c r="AA4" s="14">
        <f>Y4-Z4</f>
        <v/>
      </c>
      <c r="AB4" s="15">
        <f>IF(Y4=0,0,AA4/Y4)</f>
        <v/>
      </c>
      <c r="AC4">
        <f>MAX(0,T4-S4)</f>
        <v/>
      </c>
      <c r="AD4">
        <f>UPPER(TRIM(J4))&amp;"|"&amp;UPPER(TRIM(B4))&amp;"|"&amp;TEXT(C4,"yyyymmdd")&amp;"|"&amp;UPPER(TRIM(G4))</f>
        <v/>
      </c>
      <c r="AE4">
        <f>COUNTIF($AD$2:$AD$121,AD4)</f>
        <v/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>
        <f>O5*P5</f>
        <v/>
      </c>
      <c r="X5" s="14">
        <f>W5*Q5</f>
        <v/>
      </c>
      <c r="Y5" s="14">
        <f>W5-X5</f>
        <v/>
      </c>
      <c r="Z5" s="14">
        <f>O5*R5</f>
        <v/>
      </c>
      <c r="AA5" s="14">
        <f>Y5-Z5</f>
        <v/>
      </c>
      <c r="AB5" s="15">
        <f>IF(Y5=0,0,AA5/Y5)</f>
        <v/>
      </c>
      <c r="AC5">
        <f>MAX(0,T5-S5)</f>
        <v/>
      </c>
      <c r="AD5">
        <f>UPPER(TRIM(J5))&amp;"|"&amp;UPPER(TRIM(B5))&amp;"|"&amp;TEXT(C5,"yyyymmdd")&amp;"|"&amp;UPPER(TRIM(G5))</f>
        <v/>
      </c>
      <c r="AE5">
        <f>COUNTIF($AD$2:$AD$121,AD5)</f>
        <v/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>
        <f>O6*P6</f>
        <v/>
      </c>
      <c r="X6" s="14">
        <f>W6*Q6</f>
        <v/>
      </c>
      <c r="Y6" s="14">
        <f>W6-X6</f>
        <v/>
      </c>
      <c r="Z6" s="14">
        <f>O6*R6</f>
        <v/>
      </c>
      <c r="AA6" s="14">
        <f>Y6-Z6</f>
        <v/>
      </c>
      <c r="AB6" s="15">
        <f>IF(Y6=0,0,AA6/Y6)</f>
        <v/>
      </c>
      <c r="AC6">
        <f>MAX(0,T6-S6)</f>
        <v/>
      </c>
      <c r="AD6">
        <f>UPPER(TRIM(J6))&amp;"|"&amp;UPPER(TRIM(B6))&amp;"|"&amp;TEXT(C6,"yyyymmdd")&amp;"|"&amp;UPPER(TRIM(G6))</f>
        <v/>
      </c>
      <c r="AE6">
        <f>COUNTIF($AD$2:$AD$121,AD6)</f>
        <v/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>
        <f>O7*P7</f>
        <v/>
      </c>
      <c r="X7" s="14">
        <f>W7*Q7</f>
        <v/>
      </c>
      <c r="Y7" s="14">
        <f>W7-X7</f>
        <v/>
      </c>
      <c r="Z7" s="14">
        <f>O7*R7</f>
        <v/>
      </c>
      <c r="AA7" s="14">
        <f>Y7-Z7</f>
        <v/>
      </c>
      <c r="AB7" s="15">
        <f>IF(Y7=0,0,AA7/Y7)</f>
        <v/>
      </c>
      <c r="AC7">
        <f>MAX(0,T7-S7)</f>
        <v/>
      </c>
      <c r="AD7">
        <f>UPPER(TRIM(J7))&amp;"|"&amp;UPPER(TRIM(B7))&amp;"|"&amp;TEXT(C7,"yyyymmdd")&amp;"|"&amp;UPPER(TRIM(G7))</f>
        <v/>
      </c>
      <c r="AE7">
        <f>COUNTIF($AD$2:$AD$121,AD7)</f>
        <v/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>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>
        <f>O8*P8</f>
        <v/>
      </c>
      <c r="X8" s="14">
        <f>W8*Q8</f>
        <v/>
      </c>
      <c r="Y8" s="14">
        <f>W8-X8</f>
        <v/>
      </c>
      <c r="Z8" s="14">
        <f>O8*R8</f>
        <v/>
      </c>
      <c r="AA8" s="14">
        <f>Y8-Z8</f>
        <v/>
      </c>
      <c r="AB8" s="15">
        <f>IF(Y8=0,0,AA8/Y8)</f>
        <v/>
      </c>
      <c r="AC8">
        <f>MAX(0,T8-S8)</f>
        <v/>
      </c>
      <c r="AD8">
        <f>UPPER(TRIM(J8))&amp;"|"&amp;UPPER(TRIM(B8))&amp;"|"&amp;TEXT(C8,"yyyymmdd")&amp;"|"&amp;UPPER(TRIM(G8))</f>
        <v/>
      </c>
      <c r="AE8">
        <f>COUNTIF($AD$2:$AD$121,AD8)</f>
        <v/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>
        <f>O9*P9</f>
        <v/>
      </c>
      <c r="X9" s="14">
        <f>W9*Q9</f>
        <v/>
      </c>
      <c r="Y9" s="14">
        <f>W9-X9</f>
        <v/>
      </c>
      <c r="Z9" s="14">
        <f>O9*R9</f>
        <v/>
      </c>
      <c r="AA9" s="14">
        <f>Y9-Z9</f>
        <v/>
      </c>
      <c r="AB9" s="15">
        <f>IF(Y9=0,0,AA9/Y9)</f>
        <v/>
      </c>
      <c r="AC9">
        <f>MAX(0,T9-S9)</f>
        <v/>
      </c>
      <c r="AD9">
        <f>UPPER(TRIM(J9))&amp;"|"&amp;UPPER(TRIM(B9))&amp;"|"&amp;TEXT(C9,"yyyymmdd")&amp;"|"&amp;UPPER(TRIM(G9))</f>
        <v/>
      </c>
      <c r="AE9">
        <f>COUNTIF($AD$2:$AD$121,AD9)</f>
        <v/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>
        <f>O10*P10</f>
        <v/>
      </c>
      <c r="X10" s="14">
        <f>W10*Q10</f>
        <v/>
      </c>
      <c r="Y10" s="14">
        <f>W10-X10</f>
        <v/>
      </c>
      <c r="Z10" s="14">
        <f>O10*R10</f>
        <v/>
      </c>
      <c r="AA10" s="14">
        <f>Y10-Z10</f>
        <v/>
      </c>
      <c r="AB10" s="15">
        <f>IF(Y10=0,0,AA10/Y10)</f>
        <v/>
      </c>
      <c r="AC10">
        <f>MAX(0,T10-S10)</f>
        <v/>
      </c>
      <c r="AD10">
        <f>UPPER(TRIM(J10))&amp;"|"&amp;UPPER(TRIM(B10))&amp;"|"&amp;TEXT(C10,"yyyymmdd")&amp;"|"&amp;UPPER(TRIM(G10))</f>
        <v/>
      </c>
      <c r="AE10">
        <f>COUNTIF($AD$2:$AD$121,AD10)</f>
        <v/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>
        <f>O11*P11</f>
        <v/>
      </c>
      <c r="X11" s="14">
        <f>W11*Q11</f>
        <v/>
      </c>
      <c r="Y11" s="14">
        <f>W11-X11</f>
        <v/>
      </c>
      <c r="Z11" s="14">
        <f>O11*R11</f>
        <v/>
      </c>
      <c r="AA11" s="14">
        <f>Y11-Z11</f>
        <v/>
      </c>
      <c r="AB11" s="15">
        <f>IF(Y11=0,0,AA11/Y11)</f>
        <v/>
      </c>
      <c r="AC11">
        <f>MAX(0,T11-S11)</f>
        <v/>
      </c>
      <c r="AD11">
        <f>UPPER(TRIM(J11))&amp;"|"&amp;UPPER(TRIM(B11))&amp;"|"&amp;TEXT(C11,"yyyymmdd")&amp;"|"&amp;UPPER(TRIM(G11))</f>
        <v/>
      </c>
      <c r="AE11">
        <f>COUNTIF($AD$2:$AD$121,AD11)</f>
        <v/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>
        <f>O12*P12</f>
        <v/>
      </c>
      <c r="X12" s="14">
        <f>W12*Q12</f>
        <v/>
      </c>
      <c r="Y12" s="14">
        <f>W12-X12</f>
        <v/>
      </c>
      <c r="Z12" s="14">
        <f>O12*R12</f>
        <v/>
      </c>
      <c r="AA12" s="14">
        <f>Y12-Z12</f>
        <v/>
      </c>
      <c r="AB12" s="15">
        <f>IF(Y12=0,0,AA12/Y12)</f>
        <v/>
      </c>
      <c r="AC12">
        <f>MAX(0,T12-S12)</f>
        <v/>
      </c>
      <c r="AD12">
        <f>UPPER(TRIM(J12))&amp;"|"&amp;UPPER(TRIM(B12))&amp;"|"&amp;TEXT(C12,"yyyymmdd")&amp;"|"&amp;UPPER(TRIM(G12))</f>
        <v/>
      </c>
      <c r="AE12">
        <f>COUNTIF($AD$2:$AD$121,AD12)</f>
        <v/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>
        <f>O13*P13</f>
        <v/>
      </c>
      <c r="X13" s="14">
        <f>W13*Q13</f>
        <v/>
      </c>
      <c r="Y13" s="14">
        <f>W13-X13</f>
        <v/>
      </c>
      <c r="Z13" s="14">
        <f>O13*R13</f>
        <v/>
      </c>
      <c r="AA13" s="14">
        <f>Y13-Z13</f>
        <v/>
      </c>
      <c r="AB13" s="15">
        <f>IF(Y13=0,0,AA13/Y13)</f>
        <v/>
      </c>
      <c r="AC13">
        <f>MAX(0,T13-S13)</f>
        <v/>
      </c>
      <c r="AD13">
        <f>UPPER(TRIM(J13))&amp;"|"&amp;UPPER(TRIM(B13))&amp;"|"&amp;TEXT(C13,"yyyymmdd")&amp;"|"&amp;UPPER(TRIM(G13))</f>
        <v/>
      </c>
      <c r="AE13">
        <f>COUNTIF($AD$2:$AD$121,AD13)</f>
        <v/>
      </c>
    </row>
    <row r="14">
      <c r="A14" t="n">
        <v>13</v>
      </c>
      <c r="B14" t="inlineStr">
        <is>
          <t>OP-000013</t>
        </is>
      </c>
      <c r="C14" s="12" t="n">
        <v>46114</v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>
        <f>O14*P14</f>
        <v/>
      </c>
      <c r="X14" s="14">
        <f>W14*Q14</f>
        <v/>
      </c>
      <c r="Y14" s="14">
        <f>W14-X14</f>
        <v/>
      </c>
      <c r="Z14" s="14">
        <f>O14*R14</f>
        <v/>
      </c>
      <c r="AA14" s="14">
        <f>Y14-Z14</f>
        <v/>
      </c>
      <c r="AB14" s="15">
        <f>IF(Y14=0,0,AA14/Y14)</f>
        <v/>
      </c>
      <c r="AC14">
        <f>MAX(0,T14-S14)</f>
        <v/>
      </c>
      <c r="AD14">
        <f>UPPER(TRIM(J14))&amp;"|"&amp;UPPER(TRIM(B14))&amp;"|"&amp;TEXT(C14,"yyyymmdd")&amp;"|"&amp;UPPER(TRIM(G14))</f>
        <v/>
      </c>
      <c r="AE14">
        <f>COUNTIF($AD$2:$AD$121,AD14)</f>
        <v/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>
        <f>O15*P15</f>
        <v/>
      </c>
      <c r="X15" s="14">
        <f>W15*Q15</f>
        <v/>
      </c>
      <c r="Y15" s="14">
        <f>W15-X15</f>
        <v/>
      </c>
      <c r="Z15" s="14">
        <f>O15*R15</f>
        <v/>
      </c>
      <c r="AA15" s="14">
        <f>Y15-Z15</f>
        <v/>
      </c>
      <c r="AB15" s="15">
        <f>IF(Y15=0,0,AA15/Y15)</f>
        <v/>
      </c>
      <c r="AC15">
        <f>MAX(0,T15-S15)</f>
        <v/>
      </c>
      <c r="AD15">
        <f>UPPER(TRIM(J15))&amp;"|"&amp;UPPER(TRIM(B15))&amp;"|"&amp;TEXT(C15,"yyyymmdd")&amp;"|"&amp;UPPER(TRIM(G15))</f>
        <v/>
      </c>
      <c r="AE15">
        <f>COUNTIF($AD$2:$AD$121,AD15)</f>
        <v/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>
        <f>O16*P16</f>
        <v/>
      </c>
      <c r="X16" s="14">
        <f>W16*Q16</f>
        <v/>
      </c>
      <c r="Y16" s="14">
        <f>W16-X16</f>
        <v/>
      </c>
      <c r="Z16" s="14">
        <f>O16*R16</f>
        <v/>
      </c>
      <c r="AA16" s="14">
        <f>Y16-Z16</f>
        <v/>
      </c>
      <c r="AB16" s="15">
        <f>IF(Y16=0,0,AA16/Y16)</f>
        <v/>
      </c>
      <c r="AC16">
        <f>MAX(0,T16-S16)</f>
        <v/>
      </c>
      <c r="AD16">
        <f>UPPER(TRIM(J16))&amp;"|"&amp;UPPER(TRIM(B16))&amp;"|"&amp;TEXT(C16,"yyyymmdd")&amp;"|"&amp;UPPER(TRIM(G16))</f>
        <v/>
      </c>
      <c r="AE16">
        <f>COUNTIF($AD$2:$AD$121,AD16)</f>
        <v/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>
        <f>O17*P17</f>
        <v/>
      </c>
      <c r="X17" s="14">
        <f>W17*Q17</f>
        <v/>
      </c>
      <c r="Y17" s="14">
        <f>W17-X17</f>
        <v/>
      </c>
      <c r="Z17" s="14">
        <f>O17*R17</f>
        <v/>
      </c>
      <c r="AA17" s="14">
        <f>Y17-Z17</f>
        <v/>
      </c>
      <c r="AB17" s="15">
        <f>IF(Y17=0,0,AA17/Y17)</f>
        <v/>
      </c>
      <c r="AC17">
        <f>MAX(0,T17-S17)</f>
        <v/>
      </c>
      <c r="AD17">
        <f>UPPER(TRIM(J17))&amp;"|"&amp;UPPER(TRIM(B17))&amp;"|"&amp;TEXT(C17,"yyyymmdd")&amp;"|"&amp;UPPER(TRIM(G17))</f>
        <v/>
      </c>
      <c r="AE17">
        <f>COUNTIF($AD$2:$AD$121,AD17)</f>
        <v/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>
        <f>O18*P18</f>
        <v/>
      </c>
      <c r="X18" s="14">
        <f>W18*Q18</f>
        <v/>
      </c>
      <c r="Y18" s="14">
        <f>W18-X18</f>
        <v/>
      </c>
      <c r="Z18" s="14">
        <f>O18*R18</f>
        <v/>
      </c>
      <c r="AA18" s="14">
        <f>Y18-Z18</f>
        <v/>
      </c>
      <c r="AB18" s="15">
        <f>IF(Y18=0,0,AA18/Y18)</f>
        <v/>
      </c>
      <c r="AC18">
        <f>MAX(0,T18-S18)</f>
        <v/>
      </c>
      <c r="AD18">
        <f>UPPER(TRIM(J18))&amp;"|"&amp;UPPER(TRIM(B18))&amp;"|"&amp;TEXT(C18,"yyyymmdd")&amp;"|"&amp;UPPER(TRIM(G18))</f>
        <v/>
      </c>
      <c r="AE18">
        <f>COUNTIF($AD$2:$AD$121,AD18)</f>
        <v/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>
        <f>O19*P19</f>
        <v/>
      </c>
      <c r="X19" s="14">
        <f>W19*Q19</f>
        <v/>
      </c>
      <c r="Y19" s="14">
        <f>W19-X19</f>
        <v/>
      </c>
      <c r="Z19" s="14">
        <f>O19*R19</f>
        <v/>
      </c>
      <c r="AA19" s="14">
        <f>Y19-Z19</f>
        <v/>
      </c>
      <c r="AB19" s="15">
        <f>IF(Y19=0,0,AA19/Y19)</f>
        <v/>
      </c>
      <c r="AC19">
        <f>MAX(0,T19-S19)</f>
        <v/>
      </c>
      <c r="AD19">
        <f>UPPER(TRIM(J19))&amp;"|"&amp;UPPER(TRIM(B19))&amp;"|"&amp;TEXT(C19,"yyyymmdd")&amp;"|"&amp;UPPER(TRIM(G19))</f>
        <v/>
      </c>
      <c r="AE19">
        <f>COUNTIF($AD$2:$AD$121,AD19)</f>
        <v/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n">
        <v>3103</v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>
        <f>O20*P20</f>
        <v/>
      </c>
      <c r="X20" s="14">
        <f>W20*Q20</f>
        <v/>
      </c>
      <c r="Y20" s="14">
        <f>W20-X20</f>
        <v/>
      </c>
      <c r="Z20" s="14">
        <f>O20*R20</f>
        <v/>
      </c>
      <c r="AA20" s="14">
        <f>Y20-Z20</f>
        <v/>
      </c>
      <c r="AB20" s="15">
        <f>IF(Y20=0,0,AA20/Y20)</f>
        <v/>
      </c>
      <c r="AC20">
        <f>MAX(0,T20-S20)</f>
        <v/>
      </c>
      <c r="AD20">
        <f>UPPER(TRIM(J20))&amp;"|"&amp;UPPER(TRIM(B20))&amp;"|"&amp;TEXT(C20,"yyyymmdd")&amp;"|"&amp;UPPER(TRIM(G20))</f>
        <v/>
      </c>
      <c r="AE20">
        <f>COUNTIF($AD$2:$AD$121,AD20)</f>
        <v/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>
        <f>O21*P21</f>
        <v/>
      </c>
      <c r="X21" s="14">
        <f>W21*Q21</f>
        <v/>
      </c>
      <c r="Y21" s="14">
        <f>W21-X21</f>
        <v/>
      </c>
      <c r="Z21" s="14">
        <f>O21*R21</f>
        <v/>
      </c>
      <c r="AA21" s="14">
        <f>Y21-Z21</f>
        <v/>
      </c>
      <c r="AB21" s="15">
        <f>IF(Y21=0,0,AA21/Y21)</f>
        <v/>
      </c>
      <c r="AC21">
        <f>MAX(0,T21-S21)</f>
        <v/>
      </c>
      <c r="AD21">
        <f>UPPER(TRIM(J21))&amp;"|"&amp;UPPER(TRIM(B21))&amp;"|"&amp;TEXT(C21,"yyyymmdd")&amp;"|"&amp;UPPER(TRIM(G21))</f>
        <v/>
      </c>
      <c r="AE21">
        <f>COUNTIF($AD$2:$AD$121,AD21)</f>
        <v/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>
        <f>O22*P22</f>
        <v/>
      </c>
      <c r="X22" s="14">
        <f>W22*Q22</f>
        <v/>
      </c>
      <c r="Y22" s="14">
        <f>W22-X22</f>
        <v/>
      </c>
      <c r="Z22" s="14">
        <f>O22*R22</f>
        <v/>
      </c>
      <c r="AA22" s="14">
        <f>Y22-Z22</f>
        <v/>
      </c>
      <c r="AB22" s="15">
        <f>IF(Y22=0,0,AA22/Y22)</f>
        <v/>
      </c>
      <c r="AC22">
        <f>MAX(0,T22-S22)</f>
        <v/>
      </c>
      <c r="AD22">
        <f>UPPER(TRIM(J22))&amp;"|"&amp;UPPER(TRIM(B22))&amp;"|"&amp;TEXT(C22,"yyyymmdd")&amp;"|"&amp;UPPER(TRIM(G22))</f>
        <v/>
      </c>
      <c r="AE22">
        <f>COUNTIF($AD$2:$AD$121,AD22)</f>
        <v/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>
        <f>O23*P23</f>
        <v/>
      </c>
      <c r="X23" s="14">
        <f>W23*Q23</f>
        <v/>
      </c>
      <c r="Y23" s="14">
        <f>W23-X23</f>
        <v/>
      </c>
      <c r="Z23" s="14">
        <f>O23*R23</f>
        <v/>
      </c>
      <c r="AA23" s="14">
        <f>Y23-Z23</f>
        <v/>
      </c>
      <c r="AB23" s="15">
        <f>IF(Y23=0,0,AA23/Y23)</f>
        <v/>
      </c>
      <c r="AC23">
        <f>MAX(0,T23-S23)</f>
        <v/>
      </c>
      <c r="AD23">
        <f>UPPER(TRIM(J23))&amp;"|"&amp;UPPER(TRIM(B23))&amp;"|"&amp;TEXT(C23,"yyyymmdd")&amp;"|"&amp;UPPER(TRIM(G23))</f>
        <v/>
      </c>
      <c r="AE23">
        <f>COUNTIF($AD$2:$AD$121,AD23)</f>
        <v/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0.15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>
        <f>O24*P24</f>
        <v/>
      </c>
      <c r="X24" s="14">
        <f>W24*Q24</f>
        <v/>
      </c>
      <c r="Y24" s="14">
        <f>W24-X24</f>
        <v/>
      </c>
      <c r="Z24" s="14">
        <f>O24*R24</f>
        <v/>
      </c>
      <c r="AA24" s="14">
        <f>Y24-Z24</f>
        <v/>
      </c>
      <c r="AB24" s="15">
        <f>IF(Y24=0,0,AA24/Y24)</f>
        <v/>
      </c>
      <c r="AC24">
        <f>MAX(0,T24-S24)</f>
        <v/>
      </c>
      <c r="AD24">
        <f>UPPER(TRIM(J24))&amp;"|"&amp;UPPER(TRIM(B24))&amp;"|"&amp;TEXT(C24,"yyyymmdd")&amp;"|"&amp;UPPER(TRIM(G24))</f>
        <v/>
      </c>
      <c r="AE24">
        <f>COUNTIF($AD$2:$AD$121,AD24)</f>
        <v/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>
        <f>O25*P25</f>
        <v/>
      </c>
      <c r="X25" s="14">
        <f>W25*Q25</f>
        <v/>
      </c>
      <c r="Y25" s="14">
        <f>W25-X25</f>
        <v/>
      </c>
      <c r="Z25" s="14">
        <f>O25*R25</f>
        <v/>
      </c>
      <c r="AA25" s="14">
        <f>Y25-Z25</f>
        <v/>
      </c>
      <c r="AB25" s="15">
        <f>IF(Y25=0,0,AA25/Y25)</f>
        <v/>
      </c>
      <c r="AC25">
        <f>MAX(0,T25-S25)</f>
        <v/>
      </c>
      <c r="AD25">
        <f>UPPER(TRIM(J25))&amp;"|"&amp;UPPER(TRIM(B25))&amp;"|"&amp;TEXT(C25,"yyyymmdd")&amp;"|"&amp;UPPER(TRIM(G25))</f>
        <v/>
      </c>
      <c r="AE25">
        <f>COUNTIF($AD$2:$AD$121,AD25)</f>
        <v/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>
        <f>O26*P26</f>
        <v/>
      </c>
      <c r="X26" s="14">
        <f>W26*Q26</f>
        <v/>
      </c>
      <c r="Y26" s="14">
        <f>W26-X26</f>
        <v/>
      </c>
      <c r="Z26" s="14">
        <f>O26*R26</f>
        <v/>
      </c>
      <c r="AA26" s="14">
        <f>Y26-Z26</f>
        <v/>
      </c>
      <c r="AB26" s="15">
        <f>IF(Y26=0,0,AA26/Y26)</f>
        <v/>
      </c>
      <c r="AC26">
        <f>MAX(0,T26-S26)</f>
        <v/>
      </c>
      <c r="AD26">
        <f>UPPER(TRIM(J26))&amp;"|"&amp;UPPER(TRIM(B26))&amp;"|"&amp;TEXT(C26,"yyyymmdd")&amp;"|"&amp;UPPER(TRIM(G26))</f>
        <v/>
      </c>
      <c r="AE26">
        <f>COUNTIF($AD$2:$AD$121,AD26)</f>
        <v/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>
        <f>O27*P27</f>
        <v/>
      </c>
      <c r="X27" s="14">
        <f>W27*Q27</f>
        <v/>
      </c>
      <c r="Y27" s="14">
        <f>W27-X27</f>
        <v/>
      </c>
      <c r="Z27" s="14">
        <f>O27*R27</f>
        <v/>
      </c>
      <c r="AA27" s="14">
        <f>Y27-Z27</f>
        <v/>
      </c>
      <c r="AB27" s="15">
        <f>IF(Y27=0,0,AA27/Y27)</f>
        <v/>
      </c>
      <c r="AC27">
        <f>MAX(0,T27-S27)</f>
        <v/>
      </c>
      <c r="AD27">
        <f>UPPER(TRIM(J27))&amp;"|"&amp;UPPER(TRIM(B27))&amp;"|"&amp;TEXT(C27,"yyyymmdd")&amp;"|"&amp;UPPER(TRIM(G27))</f>
        <v/>
      </c>
      <c r="AE27">
        <f>COUNTIF($AD$2:$AD$121,AD27)</f>
        <v/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>
        <f>O28*P28</f>
        <v/>
      </c>
      <c r="X28" s="14">
        <f>W28*Q28</f>
        <v/>
      </c>
      <c r="Y28" s="14">
        <f>W28-X28</f>
        <v/>
      </c>
      <c r="Z28" s="14">
        <f>O28*R28</f>
        <v/>
      </c>
      <c r="AA28" s="14">
        <f>Y28-Z28</f>
        <v/>
      </c>
      <c r="AB28" s="15">
        <f>IF(Y28=0,0,AA28/Y28)</f>
        <v/>
      </c>
      <c r="AC28">
        <f>MAX(0,T28-S28)</f>
        <v/>
      </c>
      <c r="AD28">
        <f>UPPER(TRIM(J28))&amp;"|"&amp;UPPER(TRIM(B28))&amp;"|"&amp;TEXT(C28,"yyyymmdd")&amp;"|"&amp;UPPER(TRIM(G28))</f>
        <v/>
      </c>
      <c r="AE28">
        <f>COUNTIF($AD$2:$AD$121,AD28)</f>
        <v/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>
        <f>O29*P29</f>
        <v/>
      </c>
      <c r="X29" s="14">
        <f>W29*Q29</f>
        <v/>
      </c>
      <c r="Y29" s="14">
        <f>W29-X29</f>
        <v/>
      </c>
      <c r="Z29" s="14">
        <f>O29*R29</f>
        <v/>
      </c>
      <c r="AA29" s="14">
        <f>Y29-Z29</f>
        <v/>
      </c>
      <c r="AB29" s="15">
        <f>IF(Y29=0,0,AA29/Y29)</f>
        <v/>
      </c>
      <c r="AC29">
        <f>MAX(0,T29-S29)</f>
        <v/>
      </c>
      <c r="AD29">
        <f>UPPER(TRIM(J29))&amp;"|"&amp;UPPER(TRIM(B29))&amp;"|"&amp;TEXT(C29,"yyyymmdd")&amp;"|"&amp;UPPER(TRIM(G29))</f>
        <v/>
      </c>
      <c r="AE29">
        <f>COUNTIF($AD$2:$AD$121,AD29)</f>
        <v/>
      </c>
    </row>
    <row r="30">
      <c r="A30" t="n">
        <v>29</v>
      </c>
      <c r="B30" t="inlineStr">
        <is>
          <t>OP-000029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>
        <f>O30*P30</f>
        <v/>
      </c>
      <c r="X30" s="14">
        <f>W30*Q30</f>
        <v/>
      </c>
      <c r="Y30" s="14">
        <f>W30-X30</f>
        <v/>
      </c>
      <c r="Z30" s="14">
        <f>O30*R30</f>
        <v/>
      </c>
      <c r="AA30" s="14">
        <f>Y30-Z30</f>
        <v/>
      </c>
      <c r="AB30" s="15">
        <f>IF(Y30=0,0,AA30/Y30)</f>
        <v/>
      </c>
      <c r="AC30">
        <f>MAX(0,T30-S30)</f>
        <v/>
      </c>
      <c r="AD30">
        <f>UPPER(TRIM(J30))&amp;"|"&amp;UPPER(TRIM(B30))&amp;"|"&amp;TEXT(C30,"yyyymmdd")&amp;"|"&amp;UPPER(TRIM(G30))</f>
        <v/>
      </c>
      <c r="AE30">
        <f>COUNTIF($AD$2:$AD$121,AD30)</f>
        <v/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>
        <f>O31*P31</f>
        <v/>
      </c>
      <c r="X31" s="14">
        <f>W31*Q31</f>
        <v/>
      </c>
      <c r="Y31" s="14">
        <f>W31-X31</f>
        <v/>
      </c>
      <c r="Z31" s="14">
        <f>O31*R31</f>
        <v/>
      </c>
      <c r="AA31" s="14">
        <f>Y31-Z31</f>
        <v/>
      </c>
      <c r="AB31" s="15">
        <f>IF(Y31=0,0,AA31/Y31)</f>
        <v/>
      </c>
      <c r="AC31">
        <f>MAX(0,T31-S31)</f>
        <v/>
      </c>
      <c r="AD31">
        <f>UPPER(TRIM(J31))&amp;"|"&amp;UPPER(TRIM(B31))&amp;"|"&amp;TEXT(C31,"yyyymmdd")&amp;"|"&amp;UPPER(TRIM(G31))</f>
        <v/>
      </c>
      <c r="AE31">
        <f>COUNTIF($AD$2:$AD$121,AD31)</f>
        <v/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>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>
        <f>O32*P32</f>
        <v/>
      </c>
      <c r="X32" s="14">
        <f>W32*Q32</f>
        <v/>
      </c>
      <c r="Y32" s="14">
        <f>W32-X32</f>
        <v/>
      </c>
      <c r="Z32" s="14">
        <f>O32*R32</f>
        <v/>
      </c>
      <c r="AA32" s="14">
        <f>Y32-Z32</f>
        <v/>
      </c>
      <c r="AB32" s="15">
        <f>IF(Y32=0,0,AA32/Y32)</f>
        <v/>
      </c>
      <c r="AC32">
        <f>MAX(0,T32-S32)</f>
        <v/>
      </c>
      <c r="AD32">
        <f>UPPER(TRIM(J32))&amp;"|"&amp;UPPER(TRIM(B32))&amp;"|"&amp;TEXT(C32,"yyyymmdd")&amp;"|"&amp;UPPER(TRIM(G32))</f>
        <v/>
      </c>
      <c r="AE32">
        <f>COUNTIF($AD$2:$AD$121,AD32)</f>
        <v/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>
        <f>O33*P33</f>
        <v/>
      </c>
      <c r="X33" s="14">
        <f>W33*Q33</f>
        <v/>
      </c>
      <c r="Y33" s="14">
        <f>W33-X33</f>
        <v/>
      </c>
      <c r="Z33" s="14">
        <f>O33*R33</f>
        <v/>
      </c>
      <c r="AA33" s="14">
        <f>Y33-Z33</f>
        <v/>
      </c>
      <c r="AB33" s="15">
        <f>IF(Y33=0,0,AA33/Y33)</f>
        <v/>
      </c>
      <c r="AC33">
        <f>MAX(0,T33-S33)</f>
        <v/>
      </c>
      <c r="AD33">
        <f>UPPER(TRIM(J33))&amp;"|"&amp;UPPER(TRIM(B33))&amp;"|"&amp;TEXT(C33,"yyyymmdd")&amp;"|"&amp;UPPER(TRIM(G33))</f>
        <v/>
      </c>
      <c r="AE33">
        <f>COUNTIF($AD$2:$AD$121,AD33)</f>
        <v/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>
        <f>O34*P34</f>
        <v/>
      </c>
      <c r="X34" s="14">
        <f>W34*Q34</f>
        <v/>
      </c>
      <c r="Y34" s="14">
        <f>W34-X34</f>
        <v/>
      </c>
      <c r="Z34" s="14">
        <f>O34*R34</f>
        <v/>
      </c>
      <c r="AA34" s="14">
        <f>Y34-Z34</f>
        <v/>
      </c>
      <c r="AB34" s="15">
        <f>IF(Y34=0,0,AA34/Y34)</f>
        <v/>
      </c>
      <c r="AC34">
        <f>MAX(0,T34-S34)</f>
        <v/>
      </c>
      <c r="AD34">
        <f>UPPER(TRIM(J34))&amp;"|"&amp;UPPER(TRIM(B34))&amp;"|"&amp;TEXT(C34,"yyyymmdd")&amp;"|"&amp;UPPER(TRIM(G34))</f>
        <v/>
      </c>
      <c r="AE34">
        <f>COUNTIF($AD$2:$AD$121,AD34)</f>
        <v/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>
        <f>O35*P35</f>
        <v/>
      </c>
      <c r="X35" s="14">
        <f>W35*Q35</f>
        <v/>
      </c>
      <c r="Y35" s="14">
        <f>W35-X35</f>
        <v/>
      </c>
      <c r="Z35" s="14">
        <f>O35*R35</f>
        <v/>
      </c>
      <c r="AA35" s="14">
        <f>Y35-Z35</f>
        <v/>
      </c>
      <c r="AB35" s="15">
        <f>IF(Y35=0,0,AA35/Y35)</f>
        <v/>
      </c>
      <c r="AC35">
        <f>MAX(0,T35-S35)</f>
        <v/>
      </c>
      <c r="AD35">
        <f>UPPER(TRIM(J35))&amp;"|"&amp;UPPER(TRIM(B35))&amp;"|"&amp;TEXT(C35,"yyyymmdd")&amp;"|"&amp;UPPER(TRIM(G35))</f>
        <v/>
      </c>
      <c r="AE35">
        <f>COUNTIF($AD$2:$AD$121,AD35)</f>
        <v/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>
        <f>O36*P36</f>
        <v/>
      </c>
      <c r="X36" s="14">
        <f>W36*Q36</f>
        <v/>
      </c>
      <c r="Y36" s="14">
        <f>W36-X36</f>
        <v/>
      </c>
      <c r="Z36" s="14">
        <f>O36*R36</f>
        <v/>
      </c>
      <c r="AA36" s="14">
        <f>Y36-Z36</f>
        <v/>
      </c>
      <c r="AB36" s="15">
        <f>IF(Y36=0,0,AA36/Y36)</f>
        <v/>
      </c>
      <c r="AC36">
        <f>MAX(0,T36-S36)</f>
        <v/>
      </c>
      <c r="AD36">
        <f>UPPER(TRIM(J36))&amp;"|"&amp;UPPER(TRIM(B36))&amp;"|"&amp;TEXT(C36,"yyyymmdd")&amp;"|"&amp;UPPER(TRIM(G36))</f>
        <v/>
      </c>
      <c r="AE36">
        <f>COUNTIF($AD$2:$AD$121,AD36)</f>
        <v/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>
        <f>O37*P37</f>
        <v/>
      </c>
      <c r="X37" s="14">
        <f>W37*Q37</f>
        <v/>
      </c>
      <c r="Y37" s="14">
        <f>W37-X37</f>
        <v/>
      </c>
      <c r="Z37" s="14">
        <f>O37*R37</f>
        <v/>
      </c>
      <c r="AA37" s="14">
        <f>Y37-Z37</f>
        <v/>
      </c>
      <c r="AB37" s="15">
        <f>IF(Y37=0,0,AA37/Y37)</f>
        <v/>
      </c>
      <c r="AC37">
        <f>MAX(0,T37-S37)</f>
        <v/>
      </c>
      <c r="AD37">
        <f>UPPER(TRIM(J37))&amp;"|"&amp;UPPER(TRIM(B37))&amp;"|"&amp;TEXT(C37,"yyyymmdd")&amp;"|"&amp;UPPER(TRIM(G37))</f>
        <v/>
      </c>
      <c r="AE37">
        <f>COUNTIF($AD$2:$AD$121,AD37)</f>
        <v/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>Pendiente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>
        <f>O38*P38</f>
        <v/>
      </c>
      <c r="X38" s="14">
        <f>W38*Q38</f>
        <v/>
      </c>
      <c r="Y38" s="14">
        <f>W38-X38</f>
        <v/>
      </c>
      <c r="Z38" s="14">
        <f>O38*R38</f>
        <v/>
      </c>
      <c r="AA38" s="14">
        <f>Y38-Z38</f>
        <v/>
      </c>
      <c r="AB38" s="15">
        <f>IF(Y38=0,0,AA38/Y38)</f>
        <v/>
      </c>
      <c r="AC38">
        <f>MAX(0,T38-S38)</f>
        <v/>
      </c>
      <c r="AD38">
        <f>UPPER(TRIM(J38))&amp;"|"&amp;UPPER(TRIM(B38))&amp;"|"&amp;TEXT(C38,"yyyymmdd")&amp;"|"&amp;UPPER(TRIM(G38))</f>
        <v/>
      </c>
      <c r="AE38">
        <f>COUNTIF($AD$2:$AD$121,AD38)</f>
        <v/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>
        <f>O39*P39</f>
        <v/>
      </c>
      <c r="X39" s="14">
        <f>W39*Q39</f>
        <v/>
      </c>
      <c r="Y39" s="14">
        <f>W39-X39</f>
        <v/>
      </c>
      <c r="Z39" s="14">
        <f>O39*R39</f>
        <v/>
      </c>
      <c r="AA39" s="14">
        <f>Y39-Z39</f>
        <v/>
      </c>
      <c r="AB39" s="15">
        <f>IF(Y39=0,0,AA39/Y39)</f>
        <v/>
      </c>
      <c r="AC39">
        <f>MAX(0,T39-S39)</f>
        <v/>
      </c>
      <c r="AD39">
        <f>UPPER(TRIM(J39))&amp;"|"&amp;UPPER(TRIM(B39))&amp;"|"&amp;TEXT(C39,"yyyymmdd")&amp;"|"&amp;UPPER(TRIM(G39))</f>
        <v/>
      </c>
      <c r="AE39">
        <f>COUNTIF($AD$2:$AD$121,AD39)</f>
        <v/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>
        <f>O40*P40</f>
        <v/>
      </c>
      <c r="X40" s="14">
        <f>W40*Q40</f>
        <v/>
      </c>
      <c r="Y40" s="14">
        <f>W40-X40</f>
        <v/>
      </c>
      <c r="Z40" s="14">
        <f>O40*R40</f>
        <v/>
      </c>
      <c r="AA40" s="14">
        <f>Y40-Z40</f>
        <v/>
      </c>
      <c r="AB40" s="15">
        <f>IF(Y40=0,0,AA40/Y40)</f>
        <v/>
      </c>
      <c r="AC40">
        <f>MAX(0,T40-S40)</f>
        <v/>
      </c>
      <c r="AD40">
        <f>UPPER(TRIM(J40))&amp;"|"&amp;UPPER(TRIM(B40))&amp;"|"&amp;TEXT(C40,"yyyymmdd")&amp;"|"&amp;UPPER(TRIM(G40))</f>
        <v/>
      </c>
      <c r="AE40">
        <f>COUNTIF($AD$2:$AD$121,AD40)</f>
        <v/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>
        <f>O41*P41</f>
        <v/>
      </c>
      <c r="X41" s="14">
        <f>W41*Q41</f>
        <v/>
      </c>
      <c r="Y41" s="14">
        <f>W41-X41</f>
        <v/>
      </c>
      <c r="Z41" s="14">
        <f>O41*R41</f>
        <v/>
      </c>
      <c r="AA41" s="14">
        <f>Y41-Z41</f>
        <v/>
      </c>
      <c r="AB41" s="15">
        <f>IF(Y41=0,0,AA41/Y41)</f>
        <v/>
      </c>
      <c r="AC41">
        <f>MAX(0,T41-S41)</f>
        <v/>
      </c>
      <c r="AD41">
        <f>UPPER(TRIM(J41))&amp;"|"&amp;UPPER(TRIM(B41))&amp;"|"&amp;TEXT(C41,"yyyymmdd")&amp;"|"&amp;UPPER(TRIM(G41))</f>
        <v/>
      </c>
      <c r="AE41">
        <f>COUNTIF($AD$2:$AD$121,AD41)</f>
        <v/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30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>
        <f>O42*P42</f>
        <v/>
      </c>
      <c r="X42" s="14">
        <f>W42*Q42</f>
        <v/>
      </c>
      <c r="Y42" s="14">
        <f>W42-X42</f>
        <v/>
      </c>
      <c r="Z42" s="14">
        <f>O42*R42</f>
        <v/>
      </c>
      <c r="AA42" s="14">
        <f>Y42-Z42</f>
        <v/>
      </c>
      <c r="AB42" s="15">
        <f>IF(Y42=0,0,AA42/Y42)</f>
        <v/>
      </c>
      <c r="AC42">
        <f>MAX(0,T42-S42)</f>
        <v/>
      </c>
      <c r="AD42">
        <f>UPPER(TRIM(J42))&amp;"|"&amp;UPPER(TRIM(B42))&amp;"|"&amp;TEXT(C42,"yyyymmdd")&amp;"|"&amp;UPPER(TRIM(G42))</f>
        <v/>
      </c>
      <c r="AE42">
        <f>COUNTIF($AD$2:$AD$121,AD42)</f>
        <v/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>
        <f>O43*P43</f>
        <v/>
      </c>
      <c r="X43" s="14">
        <f>W43*Q43</f>
        <v/>
      </c>
      <c r="Y43" s="14">
        <f>W43-X43</f>
        <v/>
      </c>
      <c r="Z43" s="14">
        <f>O43*R43</f>
        <v/>
      </c>
      <c r="AA43" s="14">
        <f>Y43-Z43</f>
        <v/>
      </c>
      <c r="AB43" s="15">
        <f>IF(Y43=0,0,AA43/Y43)</f>
        <v/>
      </c>
      <c r="AC43">
        <f>MAX(0,T43-S43)</f>
        <v/>
      </c>
      <c r="AD43">
        <f>UPPER(TRIM(J43))&amp;"|"&amp;UPPER(TRIM(B43))&amp;"|"&amp;TEXT(C43,"yyyymmdd")&amp;"|"&amp;UPPER(TRIM(G43))</f>
        <v/>
      </c>
      <c r="AE43">
        <f>COUNTIF($AD$2:$AD$121,AD43)</f>
        <v/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>
        <f>O44*P44</f>
        <v/>
      </c>
      <c r="X44" s="14">
        <f>W44*Q44</f>
        <v/>
      </c>
      <c r="Y44" s="14">
        <f>W44-X44</f>
        <v/>
      </c>
      <c r="Z44" s="14">
        <f>O44*R44</f>
        <v/>
      </c>
      <c r="AA44" s="14">
        <f>Y44-Z44</f>
        <v/>
      </c>
      <c r="AB44" s="15">
        <f>IF(Y44=0,0,AA44/Y44)</f>
        <v/>
      </c>
      <c r="AC44">
        <f>MAX(0,T44-S44)</f>
        <v/>
      </c>
      <c r="AD44">
        <f>UPPER(TRIM(J44))&amp;"|"&amp;UPPER(TRIM(B44))&amp;"|"&amp;TEXT(C44,"yyyymmdd")&amp;"|"&amp;UPPER(TRIM(G44))</f>
        <v/>
      </c>
      <c r="AE44">
        <f>COUNTIF($AD$2:$AD$121,AD44)</f>
        <v/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>
        <f>O45*P45</f>
        <v/>
      </c>
      <c r="X45" s="14">
        <f>W45*Q45</f>
        <v/>
      </c>
      <c r="Y45" s="14">
        <f>W45-X45</f>
        <v/>
      </c>
      <c r="Z45" s="14">
        <f>O45*R45</f>
        <v/>
      </c>
      <c r="AA45" s="14">
        <f>Y45-Z45</f>
        <v/>
      </c>
      <c r="AB45" s="15">
        <f>IF(Y45=0,0,AA45/Y45)</f>
        <v/>
      </c>
      <c r="AC45">
        <f>MAX(0,T45-S45)</f>
        <v/>
      </c>
      <c r="AD45">
        <f>UPPER(TRIM(J45))&amp;"|"&amp;UPPER(TRIM(B45))&amp;"|"&amp;TEXT(C45,"yyyymmdd")&amp;"|"&amp;UPPER(TRIM(G45))</f>
        <v/>
      </c>
      <c r="AE45">
        <f>COUNTIF($AD$2:$AD$121,AD45)</f>
        <v/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>
        <f>O46*P46</f>
        <v/>
      </c>
      <c r="X46" s="14">
        <f>W46*Q46</f>
        <v/>
      </c>
      <c r="Y46" s="14">
        <f>W46-X46</f>
        <v/>
      </c>
      <c r="Z46" s="14">
        <f>O46*R46</f>
        <v/>
      </c>
      <c r="AA46" s="14">
        <f>Y46-Z46</f>
        <v/>
      </c>
      <c r="AB46" s="15">
        <f>IF(Y46=0,0,AA46/Y46)</f>
        <v/>
      </c>
      <c r="AC46">
        <f>MAX(0,T46-S46)</f>
        <v/>
      </c>
      <c r="AD46">
        <f>UPPER(TRIM(J46))&amp;"|"&amp;UPPER(TRIM(B46))&amp;"|"&amp;TEXT(C46,"yyyymmdd")&amp;"|"&amp;UPPER(TRIM(G46))</f>
        <v/>
      </c>
      <c r="AE46">
        <f>COUNTIF($AD$2:$AD$121,AD46)</f>
        <v/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>
        <f>O47*P47</f>
        <v/>
      </c>
      <c r="X47" s="14">
        <f>W47*Q47</f>
        <v/>
      </c>
      <c r="Y47" s="14">
        <f>W47-X47</f>
        <v/>
      </c>
      <c r="Z47" s="14">
        <f>O47*R47</f>
        <v/>
      </c>
      <c r="AA47" s="14">
        <f>Y47-Z47</f>
        <v/>
      </c>
      <c r="AB47" s="15">
        <f>IF(Y47=0,0,AA47/Y47)</f>
        <v/>
      </c>
      <c r="AC47">
        <f>MAX(0,T47-S47)</f>
        <v/>
      </c>
      <c r="AD47">
        <f>UPPER(TRIM(J47))&amp;"|"&amp;UPPER(TRIM(B47))&amp;"|"&amp;TEXT(C47,"yyyymmdd")&amp;"|"&amp;UPPER(TRIM(G47))</f>
        <v/>
      </c>
      <c r="AE47">
        <f>COUNTIF($AD$2:$AD$121,AD47)</f>
        <v/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>
        <f>O48*P48</f>
        <v/>
      </c>
      <c r="X48" s="14">
        <f>W48*Q48</f>
        <v/>
      </c>
      <c r="Y48" s="14">
        <f>W48-X48</f>
        <v/>
      </c>
      <c r="Z48" s="14">
        <f>O48*R48</f>
        <v/>
      </c>
      <c r="AA48" s="14">
        <f>Y48-Z48</f>
        <v/>
      </c>
      <c r="AB48" s="15">
        <f>IF(Y48=0,0,AA48/Y48)</f>
        <v/>
      </c>
      <c r="AC48">
        <f>MAX(0,T48-S48)</f>
        <v/>
      </c>
      <c r="AD48">
        <f>UPPER(TRIM(J48))&amp;"|"&amp;UPPER(TRIM(B48))&amp;"|"&amp;TEXT(C48,"yyyymmdd")&amp;"|"&amp;UPPER(TRIM(G48))</f>
        <v/>
      </c>
      <c r="AE48">
        <f>COUNTIF($AD$2:$AD$121,AD48)</f>
        <v/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>
        <f>O49*P49</f>
        <v/>
      </c>
      <c r="X49" s="14">
        <f>W49*Q49</f>
        <v/>
      </c>
      <c r="Y49" s="14">
        <f>W49-X49</f>
        <v/>
      </c>
      <c r="Z49" s="14">
        <f>O49*R49</f>
        <v/>
      </c>
      <c r="AA49" s="14">
        <f>Y49-Z49</f>
        <v/>
      </c>
      <c r="AB49" s="15">
        <f>IF(Y49=0,0,AA49/Y49)</f>
        <v/>
      </c>
      <c r="AC49">
        <f>MAX(0,T49-S49)</f>
        <v/>
      </c>
      <c r="AD49">
        <f>UPPER(TRIM(J49))&amp;"|"&amp;UPPER(TRIM(B49))&amp;"|"&amp;TEXT(C49,"yyyymmdd")&amp;"|"&amp;UPPER(TRIM(G49))</f>
        <v/>
      </c>
      <c r="AE49">
        <f>COUNTIF($AD$2:$AD$121,AD49)</f>
        <v/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>
        <f>O50*P50</f>
        <v/>
      </c>
      <c r="X50" s="14">
        <f>W50*Q50</f>
        <v/>
      </c>
      <c r="Y50" s="14">
        <f>W50-X50</f>
        <v/>
      </c>
      <c r="Z50" s="14">
        <f>O50*R50</f>
        <v/>
      </c>
      <c r="AA50" s="14">
        <f>Y50-Z50</f>
        <v/>
      </c>
      <c r="AB50" s="15">
        <f>IF(Y50=0,0,AA50/Y50)</f>
        <v/>
      </c>
      <c r="AC50">
        <f>MAX(0,T50-S50)</f>
        <v/>
      </c>
      <c r="AD50">
        <f>UPPER(TRIM(J50))&amp;"|"&amp;UPPER(TRIM(B50))&amp;"|"&amp;TEXT(C50,"yyyymmdd")&amp;"|"&amp;UPPER(TRIM(G50))</f>
        <v/>
      </c>
      <c r="AE50">
        <f>COUNTIF($AD$2:$AD$121,AD50)</f>
        <v/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>
        <f>O51*P51</f>
        <v/>
      </c>
      <c r="X51" s="14">
        <f>W51*Q51</f>
        <v/>
      </c>
      <c r="Y51" s="14">
        <f>W51-X51</f>
        <v/>
      </c>
      <c r="Z51" s="14">
        <f>O51*R51</f>
        <v/>
      </c>
      <c r="AA51" s="14">
        <f>Y51-Z51</f>
        <v/>
      </c>
      <c r="AB51" s="15">
        <f>IF(Y51=0,0,AA51/Y51)</f>
        <v/>
      </c>
      <c r="AC51">
        <f>MAX(0,T51-S51)</f>
        <v/>
      </c>
      <c r="AD51">
        <f>UPPER(TRIM(J51))&amp;"|"&amp;UPPER(TRIM(B51))&amp;"|"&amp;TEXT(C51,"yyyymmdd")&amp;"|"&amp;UPPER(TRIM(G51))</f>
        <v/>
      </c>
      <c r="AE51">
        <f>COUNTIF($AD$2:$AD$121,AD51)</f>
        <v/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>
        <f>O52*P52</f>
        <v/>
      </c>
      <c r="X52" s="14">
        <f>W52*Q52</f>
        <v/>
      </c>
      <c r="Y52" s="14">
        <f>W52-X52</f>
        <v/>
      </c>
      <c r="Z52" s="14">
        <f>O52*R52</f>
        <v/>
      </c>
      <c r="AA52" s="14">
        <f>Y52-Z52</f>
        <v/>
      </c>
      <c r="AB52" s="15">
        <f>IF(Y52=0,0,AA52/Y52)</f>
        <v/>
      </c>
      <c r="AC52">
        <f>MAX(0,T52-S52)</f>
        <v/>
      </c>
      <c r="AD52">
        <f>UPPER(TRIM(J52))&amp;"|"&amp;UPPER(TRIM(B52))&amp;"|"&amp;TEXT(C52,"yyyymmdd")&amp;"|"&amp;UPPER(TRIM(G52))</f>
        <v/>
      </c>
      <c r="AE52">
        <f>COUNTIF($AD$2:$AD$121,AD52)</f>
        <v/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>
        <f>O53*P53</f>
        <v/>
      </c>
      <c r="X53" s="14">
        <f>W53*Q53</f>
        <v/>
      </c>
      <c r="Y53" s="14">
        <f>W53-X53</f>
        <v/>
      </c>
      <c r="Z53" s="14">
        <f>O53*R53</f>
        <v/>
      </c>
      <c r="AA53" s="14">
        <f>Y53-Z53</f>
        <v/>
      </c>
      <c r="AB53" s="15">
        <f>IF(Y53=0,0,AA53/Y53)</f>
        <v/>
      </c>
      <c r="AC53">
        <f>MAX(0,T53-S53)</f>
        <v/>
      </c>
      <c r="AD53">
        <f>UPPER(TRIM(J53))&amp;"|"&amp;UPPER(TRIM(B53))&amp;"|"&amp;TEXT(C53,"yyyymmdd")&amp;"|"&amp;UPPER(TRIM(G53))</f>
        <v/>
      </c>
      <c r="AE53">
        <f>COUNTIF($AD$2:$AD$121,AD53)</f>
        <v/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>
        <f>O54*P54</f>
        <v/>
      </c>
      <c r="X54" s="14">
        <f>W54*Q54</f>
        <v/>
      </c>
      <c r="Y54" s="14">
        <f>W54-X54</f>
        <v/>
      </c>
      <c r="Z54" s="14">
        <f>O54*R54</f>
        <v/>
      </c>
      <c r="AA54" s="14">
        <f>Y54-Z54</f>
        <v/>
      </c>
      <c r="AB54" s="15">
        <f>IF(Y54=0,0,AA54/Y54)</f>
        <v/>
      </c>
      <c r="AC54">
        <f>MAX(0,T54-S54)</f>
        <v/>
      </c>
      <c r="AD54">
        <f>UPPER(TRIM(J54))&amp;"|"&amp;UPPER(TRIM(B54))&amp;"|"&amp;TEXT(C54,"yyyymmdd")&amp;"|"&amp;UPPER(TRIM(G54))</f>
        <v/>
      </c>
      <c r="AE54">
        <f>COUNTIF($AD$2:$AD$121,AD54)</f>
        <v/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>
        <f>O55*P55</f>
        <v/>
      </c>
      <c r="X55" s="14">
        <f>W55*Q55</f>
        <v/>
      </c>
      <c r="Y55" s="14">
        <f>W55-X55</f>
        <v/>
      </c>
      <c r="Z55" s="14">
        <f>O55*R55</f>
        <v/>
      </c>
      <c r="AA55" s="14">
        <f>Y55-Z55</f>
        <v/>
      </c>
      <c r="AB55" s="15">
        <f>IF(Y55=0,0,AA55/Y55)</f>
        <v/>
      </c>
      <c r="AC55">
        <f>MAX(0,T55-S55)</f>
        <v/>
      </c>
      <c r="AD55">
        <f>UPPER(TRIM(J55))&amp;"|"&amp;UPPER(TRIM(B55))&amp;"|"&amp;TEXT(C55,"yyyymmdd")&amp;"|"&amp;UPPER(TRIM(G55))</f>
        <v/>
      </c>
      <c r="AE55">
        <f>COUNTIF($AD$2:$AD$121,AD55)</f>
        <v/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>
        <f>O56*P56</f>
        <v/>
      </c>
      <c r="X56" s="14">
        <f>W56*Q56</f>
        <v/>
      </c>
      <c r="Y56" s="14">
        <f>W56-X56</f>
        <v/>
      </c>
      <c r="Z56" s="14">
        <f>O56*R56</f>
        <v/>
      </c>
      <c r="AA56" s="14">
        <f>Y56-Z56</f>
        <v/>
      </c>
      <c r="AB56" s="15">
        <f>IF(Y56=0,0,AA56/Y56)</f>
        <v/>
      </c>
      <c r="AC56">
        <f>MAX(0,T56-S56)</f>
        <v/>
      </c>
      <c r="AD56">
        <f>UPPER(TRIM(J56))&amp;"|"&amp;UPPER(TRIM(B56))&amp;"|"&amp;TEXT(C56,"yyyymmdd")&amp;"|"&amp;UPPER(TRIM(G56))</f>
        <v/>
      </c>
      <c r="AE56">
        <f>COUNTIF($AD$2:$AD$121,AD56)</f>
        <v/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>
        <f>O57*P57</f>
        <v/>
      </c>
      <c r="X57" s="14">
        <f>W57*Q57</f>
        <v/>
      </c>
      <c r="Y57" s="14">
        <f>W57-X57</f>
        <v/>
      </c>
      <c r="Z57" s="14">
        <f>O57*R57</f>
        <v/>
      </c>
      <c r="AA57" s="14">
        <f>Y57-Z57</f>
        <v/>
      </c>
      <c r="AB57" s="15">
        <f>IF(Y57=0,0,AA57/Y57)</f>
        <v/>
      </c>
      <c r="AC57">
        <f>MAX(0,T57-S57)</f>
        <v/>
      </c>
      <c r="AD57">
        <f>UPPER(TRIM(J57))&amp;"|"&amp;UPPER(TRIM(B57))&amp;"|"&amp;TEXT(C57,"yyyymmdd")&amp;"|"&amp;UPPER(TRIM(G57))</f>
        <v/>
      </c>
      <c r="AE57">
        <f>COUNTIF($AD$2:$AD$121,AD57)</f>
        <v/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>
        <f>O58*P58</f>
        <v/>
      </c>
      <c r="X58" s="14">
        <f>W58*Q58</f>
        <v/>
      </c>
      <c r="Y58" s="14">
        <f>W58-X58</f>
        <v/>
      </c>
      <c r="Z58" s="14">
        <f>O58*R58</f>
        <v/>
      </c>
      <c r="AA58" s="14">
        <f>Y58-Z58</f>
        <v/>
      </c>
      <c r="AB58" s="15">
        <f>IF(Y58=0,0,AA58/Y58)</f>
        <v/>
      </c>
      <c r="AC58">
        <f>MAX(0,T58-S58)</f>
        <v/>
      </c>
      <c r="AD58">
        <f>UPPER(TRIM(J58))&amp;"|"&amp;UPPER(TRIM(B58))&amp;"|"&amp;TEXT(C58,"yyyymmdd")&amp;"|"&amp;UPPER(TRIM(G58))</f>
        <v/>
      </c>
      <c r="AE58">
        <f>COUNTIF($AD$2:$AD$121,AD58)</f>
        <v/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>
        <f>O59*P59</f>
        <v/>
      </c>
      <c r="X59" s="14">
        <f>W59*Q59</f>
        <v/>
      </c>
      <c r="Y59" s="14">
        <f>W59-X59</f>
        <v/>
      </c>
      <c r="Z59" s="14">
        <f>O59*R59</f>
        <v/>
      </c>
      <c r="AA59" s="14">
        <f>Y59-Z59</f>
        <v/>
      </c>
      <c r="AB59" s="15">
        <f>IF(Y59=0,0,AA59/Y59)</f>
        <v/>
      </c>
      <c r="AC59">
        <f>MAX(0,T59-S59)</f>
        <v/>
      </c>
      <c r="AD59">
        <f>UPPER(TRIM(J59))&amp;"|"&amp;UPPER(TRIM(B59))&amp;"|"&amp;TEXT(C59,"yyyymmdd")&amp;"|"&amp;UPPER(TRIM(G59))</f>
        <v/>
      </c>
      <c r="AE59">
        <f>COUNTIF($AD$2:$AD$121,AD59)</f>
        <v/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>
        <f>O60*P60</f>
        <v/>
      </c>
      <c r="X60" s="14">
        <f>W60*Q60</f>
        <v/>
      </c>
      <c r="Y60" s="14">
        <f>W60-X60</f>
        <v/>
      </c>
      <c r="Z60" s="14">
        <f>O60*R60</f>
        <v/>
      </c>
      <c r="AA60" s="14">
        <f>Y60-Z60</f>
        <v/>
      </c>
      <c r="AB60" s="15">
        <f>IF(Y60=0,0,AA60/Y60)</f>
        <v/>
      </c>
      <c r="AC60">
        <f>MAX(0,T60-S60)</f>
        <v/>
      </c>
      <c r="AD60">
        <f>UPPER(TRIM(J60))&amp;"|"&amp;UPPER(TRIM(B60))&amp;"|"&amp;TEXT(C60,"yyyymmdd")&amp;"|"&amp;UPPER(TRIM(G60))</f>
        <v/>
      </c>
      <c r="AE60">
        <f>COUNTIF($AD$2:$AD$121,AD60)</f>
        <v/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>
        <f>O61*P61</f>
        <v/>
      </c>
      <c r="X61" s="14">
        <f>W61*Q61</f>
        <v/>
      </c>
      <c r="Y61" s="14">
        <f>W61-X61</f>
        <v/>
      </c>
      <c r="Z61" s="14">
        <f>O61*R61</f>
        <v/>
      </c>
      <c r="AA61" s="14">
        <f>Y61-Z61</f>
        <v/>
      </c>
      <c r="AB61" s="15">
        <f>IF(Y61=0,0,AA61/Y61)</f>
        <v/>
      </c>
      <c r="AC61">
        <f>MAX(0,T61-S61)</f>
        <v/>
      </c>
      <c r="AD61">
        <f>UPPER(TRIM(J61))&amp;"|"&amp;UPPER(TRIM(B61))&amp;"|"&amp;TEXT(C61,"yyyymmdd")&amp;"|"&amp;UPPER(TRIM(G61))</f>
        <v/>
      </c>
      <c r="AE61">
        <f>COUNTIF($AD$2:$AD$121,AD61)</f>
        <v/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>
        <f>O62*P62</f>
        <v/>
      </c>
      <c r="X62" s="14">
        <f>W62*Q62</f>
        <v/>
      </c>
      <c r="Y62" s="14">
        <f>W62-X62</f>
        <v/>
      </c>
      <c r="Z62" s="14">
        <f>O62*R62</f>
        <v/>
      </c>
      <c r="AA62" s="14">
        <f>Y62-Z62</f>
        <v/>
      </c>
      <c r="AB62" s="15">
        <f>IF(Y62=0,0,AA62/Y62)</f>
        <v/>
      </c>
      <c r="AC62">
        <f>MAX(0,T62-S62)</f>
        <v/>
      </c>
      <c r="AD62">
        <f>UPPER(TRIM(J62))&amp;"|"&amp;UPPER(TRIM(B62))&amp;"|"&amp;TEXT(C62,"yyyymmdd")&amp;"|"&amp;UPPER(TRIM(G62))</f>
        <v/>
      </c>
      <c r="AE62">
        <f>COUNTIF($AD$2:$AD$121,AD62)</f>
        <v/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>
        <f>O63*P63</f>
        <v/>
      </c>
      <c r="X63" s="14">
        <f>W63*Q63</f>
        <v/>
      </c>
      <c r="Y63" s="14">
        <f>W63-X63</f>
        <v/>
      </c>
      <c r="Z63" s="14">
        <f>O63*R63</f>
        <v/>
      </c>
      <c r="AA63" s="14">
        <f>Y63-Z63</f>
        <v/>
      </c>
      <c r="AB63" s="15">
        <f>IF(Y63=0,0,AA63/Y63)</f>
        <v/>
      </c>
      <c r="AC63">
        <f>MAX(0,T63-S63)</f>
        <v/>
      </c>
      <c r="AD63">
        <f>UPPER(TRIM(J63))&amp;"|"&amp;UPPER(TRIM(B63))&amp;"|"&amp;TEXT(C63,"yyyymmdd")&amp;"|"&amp;UPPER(TRIM(G63))</f>
        <v/>
      </c>
      <c r="AE63">
        <f>COUNTIF($AD$2:$AD$121,AD63)</f>
        <v/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>
        <f>O64*P64</f>
        <v/>
      </c>
      <c r="X64" s="14">
        <f>W64*Q64</f>
        <v/>
      </c>
      <c r="Y64" s="14">
        <f>W64-X64</f>
        <v/>
      </c>
      <c r="Z64" s="14">
        <f>O64*R64</f>
        <v/>
      </c>
      <c r="AA64" s="14">
        <f>Y64-Z64</f>
        <v/>
      </c>
      <c r="AB64" s="15">
        <f>IF(Y64=0,0,AA64/Y64)</f>
        <v/>
      </c>
      <c r="AC64">
        <f>MAX(0,T64-S64)</f>
        <v/>
      </c>
      <c r="AD64">
        <f>UPPER(TRIM(J64))&amp;"|"&amp;UPPER(TRIM(B64))&amp;"|"&amp;TEXT(C64,"yyyymmdd")&amp;"|"&amp;UPPER(TRIM(G64))</f>
        <v/>
      </c>
      <c r="AE64">
        <f>COUNTIF($AD$2:$AD$121,AD64)</f>
        <v/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>
        <f>O65*P65</f>
        <v/>
      </c>
      <c r="X65" s="14">
        <f>W65*Q65</f>
        <v/>
      </c>
      <c r="Y65" s="14">
        <f>W65-X65</f>
        <v/>
      </c>
      <c r="Z65" s="14">
        <f>O65*R65</f>
        <v/>
      </c>
      <c r="AA65" s="14">
        <f>Y65-Z65</f>
        <v/>
      </c>
      <c r="AB65" s="15">
        <f>IF(Y65=0,0,AA65/Y65)</f>
        <v/>
      </c>
      <c r="AC65">
        <f>MAX(0,T65-S65)</f>
        <v/>
      </c>
      <c r="AD65">
        <f>UPPER(TRIM(J65))&amp;"|"&amp;UPPER(TRIM(B65))&amp;"|"&amp;TEXT(C65,"yyyymmdd")&amp;"|"&amp;UPPER(TRIM(G65))</f>
        <v/>
      </c>
      <c r="AE65">
        <f>COUNTIF($AD$2:$AD$121,AD65)</f>
        <v/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>
        <f>O66*P66</f>
        <v/>
      </c>
      <c r="X66" s="14">
        <f>W66*Q66</f>
        <v/>
      </c>
      <c r="Y66" s="14">
        <f>W66-X66</f>
        <v/>
      </c>
      <c r="Z66" s="14">
        <f>O66*R66</f>
        <v/>
      </c>
      <c r="AA66" s="14">
        <f>Y66-Z66</f>
        <v/>
      </c>
      <c r="AB66" s="15">
        <f>IF(Y66=0,0,AA66/Y66)</f>
        <v/>
      </c>
      <c r="AC66">
        <f>MAX(0,T66-S66)</f>
        <v/>
      </c>
      <c r="AD66">
        <f>UPPER(TRIM(J66))&amp;"|"&amp;UPPER(TRIM(B66))&amp;"|"&amp;TEXT(C66,"yyyymmdd")&amp;"|"&amp;UPPER(TRIM(G66))</f>
        <v/>
      </c>
      <c r="AE66">
        <f>COUNTIF($AD$2:$AD$121,AD66)</f>
        <v/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>
        <f>O67*P67</f>
        <v/>
      </c>
      <c r="X67" s="14">
        <f>W67*Q67</f>
        <v/>
      </c>
      <c r="Y67" s="14">
        <f>W67-X67</f>
        <v/>
      </c>
      <c r="Z67" s="14">
        <f>O67*R67</f>
        <v/>
      </c>
      <c r="AA67" s="14">
        <f>Y67-Z67</f>
        <v/>
      </c>
      <c r="AB67" s="15">
        <f>IF(Y67=0,0,AA67/Y67)</f>
        <v/>
      </c>
      <c r="AC67">
        <f>MAX(0,T67-S67)</f>
        <v/>
      </c>
      <c r="AD67">
        <f>UPPER(TRIM(J67))&amp;"|"&amp;UPPER(TRIM(B67))&amp;"|"&amp;TEXT(C67,"yyyymmdd")&amp;"|"&amp;UPPER(TRIM(G67))</f>
        <v/>
      </c>
      <c r="AE67">
        <f>COUNTIF($AD$2:$AD$121,AD67)</f>
        <v/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>
        <f>O68*P68</f>
        <v/>
      </c>
      <c r="X68" s="14">
        <f>W68*Q68</f>
        <v/>
      </c>
      <c r="Y68" s="14">
        <f>W68-X68</f>
        <v/>
      </c>
      <c r="Z68" s="14">
        <f>O68*R68</f>
        <v/>
      </c>
      <c r="AA68" s="14">
        <f>Y68-Z68</f>
        <v/>
      </c>
      <c r="AB68" s="15">
        <f>IF(Y68=0,0,AA68/Y68)</f>
        <v/>
      </c>
      <c r="AC68">
        <f>MAX(0,T68-S68)</f>
        <v/>
      </c>
      <c r="AD68">
        <f>UPPER(TRIM(J68))&amp;"|"&amp;UPPER(TRIM(B68))&amp;"|"&amp;TEXT(C68,"yyyymmdd")&amp;"|"&amp;UPPER(TRIM(G68))</f>
        <v/>
      </c>
      <c r="AE68">
        <f>COUNTIF($AD$2:$AD$121,AD68)</f>
        <v/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>
        <f>O69*P69</f>
        <v/>
      </c>
      <c r="X69" s="14">
        <f>W69*Q69</f>
        <v/>
      </c>
      <c r="Y69" s="14">
        <f>W69-X69</f>
        <v/>
      </c>
      <c r="Z69" s="14">
        <f>O69*R69</f>
        <v/>
      </c>
      <c r="AA69" s="14">
        <f>Y69-Z69</f>
        <v/>
      </c>
      <c r="AB69" s="15">
        <f>IF(Y69=0,0,AA69/Y69)</f>
        <v/>
      </c>
      <c r="AC69">
        <f>MAX(0,T69-S69)</f>
        <v/>
      </c>
      <c r="AD69">
        <f>UPPER(TRIM(J69))&amp;"|"&amp;UPPER(TRIM(B69))&amp;"|"&amp;TEXT(C69,"yyyymmdd")&amp;"|"&amp;UPPER(TRIM(G69))</f>
        <v/>
      </c>
      <c r="AE69">
        <f>COUNTIF($AD$2:$AD$121,AD69)</f>
        <v/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>
        <f>O70*P70</f>
        <v/>
      </c>
      <c r="X70" s="14">
        <f>W70*Q70</f>
        <v/>
      </c>
      <c r="Y70" s="14">
        <f>W70-X70</f>
        <v/>
      </c>
      <c r="Z70" s="14">
        <f>O70*R70</f>
        <v/>
      </c>
      <c r="AA70" s="14">
        <f>Y70-Z70</f>
        <v/>
      </c>
      <c r="AB70" s="15">
        <f>IF(Y70=0,0,AA70/Y70)</f>
        <v/>
      </c>
      <c r="AC70">
        <f>MAX(0,T70-S70)</f>
        <v/>
      </c>
      <c r="AD70">
        <f>UPPER(TRIM(J70))&amp;"|"&amp;UPPER(TRIM(B70))&amp;"|"&amp;TEXT(C70,"yyyymmdd")&amp;"|"&amp;UPPER(TRIM(G70))</f>
        <v/>
      </c>
      <c r="AE70">
        <f>COUNTIF($AD$2:$AD$121,AD70)</f>
        <v/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>
        <f>O71*P71</f>
        <v/>
      </c>
      <c r="X71" s="14">
        <f>W71*Q71</f>
        <v/>
      </c>
      <c r="Y71" s="14">
        <f>W71-X71</f>
        <v/>
      </c>
      <c r="Z71" s="14">
        <f>O71*R71</f>
        <v/>
      </c>
      <c r="AA71" s="14">
        <f>Y71-Z71</f>
        <v/>
      </c>
      <c r="AB71" s="15">
        <f>IF(Y71=0,0,AA71/Y71)</f>
        <v/>
      </c>
      <c r="AC71">
        <f>MAX(0,T71-S71)</f>
        <v/>
      </c>
      <c r="AD71">
        <f>UPPER(TRIM(J71))&amp;"|"&amp;UPPER(TRIM(B71))&amp;"|"&amp;TEXT(C71,"yyyymmdd")&amp;"|"&amp;UPPER(TRIM(G71))</f>
        <v/>
      </c>
      <c r="AE71">
        <f>COUNTIF($AD$2:$AD$121,AD71)</f>
        <v/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>
        <f>O72*P72</f>
        <v/>
      </c>
      <c r="X72" s="14">
        <f>W72*Q72</f>
        <v/>
      </c>
      <c r="Y72" s="14">
        <f>W72-X72</f>
        <v/>
      </c>
      <c r="Z72" s="14">
        <f>O72*R72</f>
        <v/>
      </c>
      <c r="AA72" s="14">
        <f>Y72-Z72</f>
        <v/>
      </c>
      <c r="AB72" s="15">
        <f>IF(Y72=0,0,AA72/Y72)</f>
        <v/>
      </c>
      <c r="AC72">
        <f>MAX(0,T72-S72)</f>
        <v/>
      </c>
      <c r="AD72">
        <f>UPPER(TRIM(J72))&amp;"|"&amp;UPPER(TRIM(B72))&amp;"|"&amp;TEXT(C72,"yyyymmdd")&amp;"|"&amp;UPPER(TRIM(G72))</f>
        <v/>
      </c>
      <c r="AE72">
        <f>COUNTIF($AD$2:$AD$121,AD72)</f>
        <v/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>
        <f>O73*P73</f>
        <v/>
      </c>
      <c r="X73" s="14">
        <f>W73*Q73</f>
        <v/>
      </c>
      <c r="Y73" s="14">
        <f>W73-X73</f>
        <v/>
      </c>
      <c r="Z73" s="14">
        <f>O73*R73</f>
        <v/>
      </c>
      <c r="AA73" s="14">
        <f>Y73-Z73</f>
        <v/>
      </c>
      <c r="AB73" s="15">
        <f>IF(Y73=0,0,AA73/Y73)</f>
        <v/>
      </c>
      <c r="AC73">
        <f>MAX(0,T73-S73)</f>
        <v/>
      </c>
      <c r="AD73">
        <f>UPPER(TRIM(J73))&amp;"|"&amp;UPPER(TRIM(B73))&amp;"|"&amp;TEXT(C73,"yyyymmdd")&amp;"|"&amp;UPPER(TRIM(G73))</f>
        <v/>
      </c>
      <c r="AE73">
        <f>COUNTIF($AD$2:$AD$121,AD73)</f>
        <v/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>
        <f>O74*P74</f>
        <v/>
      </c>
      <c r="X74" s="14">
        <f>W74*Q74</f>
        <v/>
      </c>
      <c r="Y74" s="14">
        <f>W74-X74</f>
        <v/>
      </c>
      <c r="Z74" s="14">
        <f>O74*R74</f>
        <v/>
      </c>
      <c r="AA74" s="14">
        <f>Y74-Z74</f>
        <v/>
      </c>
      <c r="AB74" s="15">
        <f>IF(Y74=0,0,AA74/Y74)</f>
        <v/>
      </c>
      <c r="AC74">
        <f>MAX(0,T74-S74)</f>
        <v/>
      </c>
      <c r="AD74">
        <f>UPPER(TRIM(J74))&amp;"|"&amp;UPPER(TRIM(B74))&amp;"|"&amp;TEXT(C74,"yyyymmdd")&amp;"|"&amp;UPPER(TRIM(G74))</f>
        <v/>
      </c>
      <c r="AE74">
        <f>COUNTIF($AD$2:$AD$121,AD74)</f>
        <v/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>
        <f>O75*P75</f>
        <v/>
      </c>
      <c r="X75" s="14">
        <f>W75*Q75</f>
        <v/>
      </c>
      <c r="Y75" s="14">
        <f>W75-X75</f>
        <v/>
      </c>
      <c r="Z75" s="14">
        <f>O75*R75</f>
        <v/>
      </c>
      <c r="AA75" s="14">
        <f>Y75-Z75</f>
        <v/>
      </c>
      <c r="AB75" s="15">
        <f>IF(Y75=0,0,AA75/Y75)</f>
        <v/>
      </c>
      <c r="AC75">
        <f>MAX(0,T75-S75)</f>
        <v/>
      </c>
      <c r="AD75">
        <f>UPPER(TRIM(J75))&amp;"|"&amp;UPPER(TRIM(B75))&amp;"|"&amp;TEXT(C75,"yyyymmdd")&amp;"|"&amp;UPPER(TRIM(G75))</f>
        <v/>
      </c>
      <c r="AE75">
        <f>COUNTIF($AD$2:$AD$121,AD75)</f>
        <v/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>
        <f>O76*P76</f>
        <v/>
      </c>
      <c r="X76" s="14">
        <f>W76*Q76</f>
        <v/>
      </c>
      <c r="Y76" s="14">
        <f>W76-X76</f>
        <v/>
      </c>
      <c r="Z76" s="14">
        <f>O76*R76</f>
        <v/>
      </c>
      <c r="AA76" s="14">
        <f>Y76-Z76</f>
        <v/>
      </c>
      <c r="AB76" s="15">
        <f>IF(Y76=0,0,AA76/Y76)</f>
        <v/>
      </c>
      <c r="AC76">
        <f>MAX(0,T76-S76)</f>
        <v/>
      </c>
      <c r="AD76">
        <f>UPPER(TRIM(J76))&amp;"|"&amp;UPPER(TRIM(B76))&amp;"|"&amp;TEXT(C76,"yyyymmdd")&amp;"|"&amp;UPPER(TRIM(G76))</f>
        <v/>
      </c>
      <c r="AE76">
        <f>COUNTIF($AD$2:$AD$121,AD76)</f>
        <v/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>
        <f>O77*P77</f>
        <v/>
      </c>
      <c r="X77" s="14">
        <f>W77*Q77</f>
        <v/>
      </c>
      <c r="Y77" s="14">
        <f>W77-X77</f>
        <v/>
      </c>
      <c r="Z77" s="14">
        <f>O77*R77</f>
        <v/>
      </c>
      <c r="AA77" s="14">
        <f>Y77-Z77</f>
        <v/>
      </c>
      <c r="AB77" s="15">
        <f>IF(Y77=0,0,AA77/Y77)</f>
        <v/>
      </c>
      <c r="AC77">
        <f>MAX(0,T77-S77)</f>
        <v/>
      </c>
      <c r="AD77">
        <f>UPPER(TRIM(J77))&amp;"|"&amp;UPPER(TRIM(B77))&amp;"|"&amp;TEXT(C77,"yyyymmdd")&amp;"|"&amp;UPPER(TRIM(G77))</f>
        <v/>
      </c>
      <c r="AE77">
        <f>COUNTIF($AD$2:$AD$121,AD77)</f>
        <v/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>
        <f>O78*P78</f>
        <v/>
      </c>
      <c r="X78" s="14">
        <f>W78*Q78</f>
        <v/>
      </c>
      <c r="Y78" s="14">
        <f>W78-X78</f>
        <v/>
      </c>
      <c r="Z78" s="14">
        <f>O78*R78</f>
        <v/>
      </c>
      <c r="AA78" s="14">
        <f>Y78-Z78</f>
        <v/>
      </c>
      <c r="AB78" s="15">
        <f>IF(Y78=0,0,AA78/Y78)</f>
        <v/>
      </c>
      <c r="AC78">
        <f>MAX(0,T78-S78)</f>
        <v/>
      </c>
      <c r="AD78">
        <f>UPPER(TRIM(J78))&amp;"|"&amp;UPPER(TRIM(B78))&amp;"|"&amp;TEXT(C78,"yyyymmdd")&amp;"|"&amp;UPPER(TRIM(G78))</f>
        <v/>
      </c>
      <c r="AE78">
        <f>COUNTIF($AD$2:$AD$121,AD78)</f>
        <v/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>
        <f>O79*P79</f>
        <v/>
      </c>
      <c r="X79" s="14">
        <f>W79*Q79</f>
        <v/>
      </c>
      <c r="Y79" s="14">
        <f>W79-X79</f>
        <v/>
      </c>
      <c r="Z79" s="14">
        <f>O79*R79</f>
        <v/>
      </c>
      <c r="AA79" s="14">
        <f>Y79-Z79</f>
        <v/>
      </c>
      <c r="AB79" s="15">
        <f>IF(Y79=0,0,AA79/Y79)</f>
        <v/>
      </c>
      <c r="AC79">
        <f>MAX(0,T79-S79)</f>
        <v/>
      </c>
      <c r="AD79">
        <f>UPPER(TRIM(J79))&amp;"|"&amp;UPPER(TRIM(B79))&amp;"|"&amp;TEXT(C79,"yyyymmdd")&amp;"|"&amp;UPPER(TRIM(G79))</f>
        <v/>
      </c>
      <c r="AE79">
        <f>COUNTIF($AD$2:$AD$121,AD79)</f>
        <v/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>
        <f>O80*P80</f>
        <v/>
      </c>
      <c r="X80" s="14">
        <f>W80*Q80</f>
        <v/>
      </c>
      <c r="Y80" s="14">
        <f>W80-X80</f>
        <v/>
      </c>
      <c r="Z80" s="14">
        <f>O80*R80</f>
        <v/>
      </c>
      <c r="AA80" s="14">
        <f>Y80-Z80</f>
        <v/>
      </c>
      <c r="AB80" s="15">
        <f>IF(Y80=0,0,AA80/Y80)</f>
        <v/>
      </c>
      <c r="AC80">
        <f>MAX(0,T80-S80)</f>
        <v/>
      </c>
      <c r="AD80">
        <f>UPPER(TRIM(J80))&amp;"|"&amp;UPPER(TRIM(B80))&amp;"|"&amp;TEXT(C80,"yyyymmdd")&amp;"|"&amp;UPPER(TRIM(G80))</f>
        <v/>
      </c>
      <c r="AE80">
        <f>COUNTIF($AD$2:$AD$121,AD80)</f>
        <v/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>
        <f>O81*P81</f>
        <v/>
      </c>
      <c r="X81" s="14">
        <f>W81*Q81</f>
        <v/>
      </c>
      <c r="Y81" s="14">
        <f>W81-X81</f>
        <v/>
      </c>
      <c r="Z81" s="14">
        <f>O81*R81</f>
        <v/>
      </c>
      <c r="AA81" s="14">
        <f>Y81-Z81</f>
        <v/>
      </c>
      <c r="AB81" s="15">
        <f>IF(Y81=0,0,AA81/Y81)</f>
        <v/>
      </c>
      <c r="AC81">
        <f>MAX(0,T81-S81)</f>
        <v/>
      </c>
      <c r="AD81">
        <f>UPPER(TRIM(J81))&amp;"|"&amp;UPPER(TRIM(B81))&amp;"|"&amp;TEXT(C81,"yyyymmdd")&amp;"|"&amp;UPPER(TRIM(G81))</f>
        <v/>
      </c>
      <c r="AE81">
        <f>COUNTIF($AD$2:$AD$121,AD81)</f>
        <v/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>
        <f>O82*P82</f>
        <v/>
      </c>
      <c r="X82" s="14">
        <f>W82*Q82</f>
        <v/>
      </c>
      <c r="Y82" s="14">
        <f>W82-X82</f>
        <v/>
      </c>
      <c r="Z82" s="14">
        <f>O82*R82</f>
        <v/>
      </c>
      <c r="AA82" s="14">
        <f>Y82-Z82</f>
        <v/>
      </c>
      <c r="AB82" s="15">
        <f>IF(Y82=0,0,AA82/Y82)</f>
        <v/>
      </c>
      <c r="AC82">
        <f>MAX(0,T82-S82)</f>
        <v/>
      </c>
      <c r="AD82">
        <f>UPPER(TRIM(J82))&amp;"|"&amp;UPPER(TRIM(B82))&amp;"|"&amp;TEXT(C82,"yyyymmdd")&amp;"|"&amp;UPPER(TRIM(G82))</f>
        <v/>
      </c>
      <c r="AE82">
        <f>COUNTIF($AD$2:$AD$121,AD82)</f>
        <v/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>
        <f>O83*P83</f>
        <v/>
      </c>
      <c r="X83" s="14">
        <f>W83*Q83</f>
        <v/>
      </c>
      <c r="Y83" s="14">
        <f>W83-X83</f>
        <v/>
      </c>
      <c r="Z83" s="14">
        <f>O83*R83</f>
        <v/>
      </c>
      <c r="AA83" s="14">
        <f>Y83-Z83</f>
        <v/>
      </c>
      <c r="AB83" s="15">
        <f>IF(Y83=0,0,AA83/Y83)</f>
        <v/>
      </c>
      <c r="AC83">
        <f>MAX(0,T83-S83)</f>
        <v/>
      </c>
      <c r="AD83">
        <f>UPPER(TRIM(J83))&amp;"|"&amp;UPPER(TRIM(B83))&amp;"|"&amp;TEXT(C83,"yyyymmdd")&amp;"|"&amp;UPPER(TRIM(G83))</f>
        <v/>
      </c>
      <c r="AE83">
        <f>COUNTIF($AD$2:$AD$121,AD83)</f>
        <v/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>
        <f>O84*P84</f>
        <v/>
      </c>
      <c r="X84" s="14">
        <f>W84*Q84</f>
        <v/>
      </c>
      <c r="Y84" s="14">
        <f>W84-X84</f>
        <v/>
      </c>
      <c r="Z84" s="14">
        <f>O84*R84</f>
        <v/>
      </c>
      <c r="AA84" s="14">
        <f>Y84-Z84</f>
        <v/>
      </c>
      <c r="AB84" s="15">
        <f>IF(Y84=0,0,AA84/Y84)</f>
        <v/>
      </c>
      <c r="AC84">
        <f>MAX(0,T84-S84)</f>
        <v/>
      </c>
      <c r="AD84">
        <f>UPPER(TRIM(J84))&amp;"|"&amp;UPPER(TRIM(B84))&amp;"|"&amp;TEXT(C84,"yyyymmdd")&amp;"|"&amp;UPPER(TRIM(G84))</f>
        <v/>
      </c>
      <c r="AE84">
        <f>COUNTIF($AD$2:$AD$121,AD84)</f>
        <v/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>
        <f>O85*P85</f>
        <v/>
      </c>
      <c r="X85" s="14">
        <f>W85*Q85</f>
        <v/>
      </c>
      <c r="Y85" s="14">
        <f>W85-X85</f>
        <v/>
      </c>
      <c r="Z85" s="14">
        <f>O85*R85</f>
        <v/>
      </c>
      <c r="AA85" s="14">
        <f>Y85-Z85</f>
        <v/>
      </c>
      <c r="AB85" s="15">
        <f>IF(Y85=0,0,AA85/Y85)</f>
        <v/>
      </c>
      <c r="AC85">
        <f>MAX(0,T85-S85)</f>
        <v/>
      </c>
      <c r="AD85">
        <f>UPPER(TRIM(J85))&amp;"|"&amp;UPPER(TRIM(B85))&amp;"|"&amp;TEXT(C85,"yyyymmdd")&amp;"|"&amp;UPPER(TRIM(G85))</f>
        <v/>
      </c>
      <c r="AE85">
        <f>COUNTIF($AD$2:$AD$121,AD85)</f>
        <v/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>
        <f>O86*P86</f>
        <v/>
      </c>
      <c r="X86" s="14">
        <f>W86*Q86</f>
        <v/>
      </c>
      <c r="Y86" s="14">
        <f>W86-X86</f>
        <v/>
      </c>
      <c r="Z86" s="14">
        <f>O86*R86</f>
        <v/>
      </c>
      <c r="AA86" s="14">
        <f>Y86-Z86</f>
        <v/>
      </c>
      <c r="AB86" s="15">
        <f>IF(Y86=0,0,AA86/Y86)</f>
        <v/>
      </c>
      <c r="AC86">
        <f>MAX(0,T86-S86)</f>
        <v/>
      </c>
      <c r="AD86">
        <f>UPPER(TRIM(J86))&amp;"|"&amp;UPPER(TRIM(B86))&amp;"|"&amp;TEXT(C86,"yyyymmdd")&amp;"|"&amp;UPPER(TRIM(G86))</f>
        <v/>
      </c>
      <c r="AE86">
        <f>COUNTIF($AD$2:$AD$121,AD86)</f>
        <v/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>
        <f>O87*P87</f>
        <v/>
      </c>
      <c r="X87" s="14">
        <f>W87*Q87</f>
        <v/>
      </c>
      <c r="Y87" s="14">
        <f>W87-X87</f>
        <v/>
      </c>
      <c r="Z87" s="14">
        <f>O87*R87</f>
        <v/>
      </c>
      <c r="AA87" s="14">
        <f>Y87-Z87</f>
        <v/>
      </c>
      <c r="AB87" s="15">
        <f>IF(Y87=0,0,AA87/Y87)</f>
        <v/>
      </c>
      <c r="AC87">
        <f>MAX(0,T87-S87)</f>
        <v/>
      </c>
      <c r="AD87">
        <f>UPPER(TRIM(J87))&amp;"|"&amp;UPPER(TRIM(B87))&amp;"|"&amp;TEXT(C87,"yyyymmdd")&amp;"|"&amp;UPPER(TRIM(G87))</f>
        <v/>
      </c>
      <c r="AE87">
        <f>COUNTIF($AD$2:$AD$121,AD87)</f>
        <v/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>
        <f>O88*P88</f>
        <v/>
      </c>
      <c r="X88" s="14">
        <f>W88*Q88</f>
        <v/>
      </c>
      <c r="Y88" s="14">
        <f>W88-X88</f>
        <v/>
      </c>
      <c r="Z88" s="14">
        <f>O88*R88</f>
        <v/>
      </c>
      <c r="AA88" s="14">
        <f>Y88-Z88</f>
        <v/>
      </c>
      <c r="AB88" s="15">
        <f>IF(Y88=0,0,AA88/Y88)</f>
        <v/>
      </c>
      <c r="AC88">
        <f>MAX(0,T88-S88)</f>
        <v/>
      </c>
      <c r="AD88">
        <f>UPPER(TRIM(J88))&amp;"|"&amp;UPPER(TRIM(B88))&amp;"|"&amp;TEXT(C88,"yyyymmdd")&amp;"|"&amp;UPPER(TRIM(G88))</f>
        <v/>
      </c>
      <c r="AE88">
        <f>COUNTIF($AD$2:$AD$121,AD88)</f>
        <v/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>
        <f>O89*P89</f>
        <v/>
      </c>
      <c r="X89" s="14">
        <f>W89*Q89</f>
        <v/>
      </c>
      <c r="Y89" s="14">
        <f>W89-X89</f>
        <v/>
      </c>
      <c r="Z89" s="14">
        <f>O89*R89</f>
        <v/>
      </c>
      <c r="AA89" s="14">
        <f>Y89-Z89</f>
        <v/>
      </c>
      <c r="AB89" s="15">
        <f>IF(Y89=0,0,AA89/Y89)</f>
        <v/>
      </c>
      <c r="AC89">
        <f>MAX(0,T89-S89)</f>
        <v/>
      </c>
      <c r="AD89">
        <f>UPPER(TRIM(J89))&amp;"|"&amp;UPPER(TRIM(B89))&amp;"|"&amp;TEXT(C89,"yyyymmdd")&amp;"|"&amp;UPPER(TRIM(G89))</f>
        <v/>
      </c>
      <c r="AE89">
        <f>COUNTIF($AD$2:$AD$121,AD89)</f>
        <v/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>
        <f>O90*P90</f>
        <v/>
      </c>
      <c r="X90" s="14">
        <f>W90*Q90</f>
        <v/>
      </c>
      <c r="Y90" s="14">
        <f>W90-X90</f>
        <v/>
      </c>
      <c r="Z90" s="14">
        <f>O90*R90</f>
        <v/>
      </c>
      <c r="AA90" s="14">
        <f>Y90-Z90</f>
        <v/>
      </c>
      <c r="AB90" s="15">
        <f>IF(Y90=0,0,AA90/Y90)</f>
        <v/>
      </c>
      <c r="AC90">
        <f>MAX(0,T90-S90)</f>
        <v/>
      </c>
      <c r="AD90">
        <f>UPPER(TRIM(J90))&amp;"|"&amp;UPPER(TRIM(B90))&amp;"|"&amp;TEXT(C90,"yyyymmdd")&amp;"|"&amp;UPPER(TRIM(G90))</f>
        <v/>
      </c>
      <c r="AE90">
        <f>COUNTIF($AD$2:$AD$121,AD90)</f>
        <v/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>
        <f>O91*P91</f>
        <v/>
      </c>
      <c r="X91" s="14">
        <f>W91*Q91</f>
        <v/>
      </c>
      <c r="Y91" s="14">
        <f>W91-X91</f>
        <v/>
      </c>
      <c r="Z91" s="14">
        <f>O91*R91</f>
        <v/>
      </c>
      <c r="AA91" s="14">
        <f>Y91-Z91</f>
        <v/>
      </c>
      <c r="AB91" s="15">
        <f>IF(Y91=0,0,AA91/Y91)</f>
        <v/>
      </c>
      <c r="AC91">
        <f>MAX(0,T91-S91)</f>
        <v/>
      </c>
      <c r="AD91">
        <f>UPPER(TRIM(J91))&amp;"|"&amp;UPPER(TRIM(B91))&amp;"|"&amp;TEXT(C91,"yyyymmdd")&amp;"|"&amp;UPPER(TRIM(G91))</f>
        <v/>
      </c>
      <c r="AE91">
        <f>COUNTIF($AD$2:$AD$121,AD91)</f>
        <v/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>
        <f>O92*P92</f>
        <v/>
      </c>
      <c r="X92" s="14">
        <f>W92*Q92</f>
        <v/>
      </c>
      <c r="Y92" s="14">
        <f>W92-X92</f>
        <v/>
      </c>
      <c r="Z92" s="14">
        <f>O92*R92</f>
        <v/>
      </c>
      <c r="AA92" s="14">
        <f>Y92-Z92</f>
        <v/>
      </c>
      <c r="AB92" s="15">
        <f>IF(Y92=0,0,AA92/Y92)</f>
        <v/>
      </c>
      <c r="AC92">
        <f>MAX(0,T92-S92)</f>
        <v/>
      </c>
      <c r="AD92">
        <f>UPPER(TRIM(J92))&amp;"|"&amp;UPPER(TRIM(B92))&amp;"|"&amp;TEXT(C92,"yyyymmdd")&amp;"|"&amp;UPPER(TRIM(G92))</f>
        <v/>
      </c>
      <c r="AE92">
        <f>COUNTIF($AD$2:$AD$121,AD92)</f>
        <v/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>
        <f>O93*P93</f>
        <v/>
      </c>
      <c r="X93" s="14">
        <f>W93*Q93</f>
        <v/>
      </c>
      <c r="Y93" s="14">
        <f>W93-X93</f>
        <v/>
      </c>
      <c r="Z93" s="14">
        <f>O93*R93</f>
        <v/>
      </c>
      <c r="AA93" s="14">
        <f>Y93-Z93</f>
        <v/>
      </c>
      <c r="AB93" s="15">
        <f>IF(Y93=0,0,AA93/Y93)</f>
        <v/>
      </c>
      <c r="AC93">
        <f>MAX(0,T93-S93)</f>
        <v/>
      </c>
      <c r="AD93">
        <f>UPPER(TRIM(J93))&amp;"|"&amp;UPPER(TRIM(B93))&amp;"|"&amp;TEXT(C93,"yyyymmdd")&amp;"|"&amp;UPPER(TRIM(G93))</f>
        <v/>
      </c>
      <c r="AE93">
        <f>COUNTIF($AD$2:$AD$121,AD93)</f>
        <v/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>
        <f>O94*P94</f>
        <v/>
      </c>
      <c r="X94" s="14">
        <f>W94*Q94</f>
        <v/>
      </c>
      <c r="Y94" s="14">
        <f>W94-X94</f>
        <v/>
      </c>
      <c r="Z94" s="14">
        <f>O94*R94</f>
        <v/>
      </c>
      <c r="AA94" s="14">
        <f>Y94-Z94</f>
        <v/>
      </c>
      <c r="AB94" s="15">
        <f>IF(Y94=0,0,AA94/Y94)</f>
        <v/>
      </c>
      <c r="AC94">
        <f>MAX(0,T94-S94)</f>
        <v/>
      </c>
      <c r="AD94">
        <f>UPPER(TRIM(J94))&amp;"|"&amp;UPPER(TRIM(B94))&amp;"|"&amp;TEXT(C94,"yyyymmdd")&amp;"|"&amp;UPPER(TRIM(G94))</f>
        <v/>
      </c>
      <c r="AE94">
        <f>COUNTIF($AD$2:$AD$121,AD94)</f>
        <v/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>
        <f>O95*P95</f>
        <v/>
      </c>
      <c r="X95" s="14">
        <f>W95*Q95</f>
        <v/>
      </c>
      <c r="Y95" s="14">
        <f>W95-X95</f>
        <v/>
      </c>
      <c r="Z95" s="14">
        <f>O95*R95</f>
        <v/>
      </c>
      <c r="AA95" s="14">
        <f>Y95-Z95</f>
        <v/>
      </c>
      <c r="AB95" s="15">
        <f>IF(Y95=0,0,AA95/Y95)</f>
        <v/>
      </c>
      <c r="AC95">
        <f>MAX(0,T95-S95)</f>
        <v/>
      </c>
      <c r="AD95">
        <f>UPPER(TRIM(J95))&amp;"|"&amp;UPPER(TRIM(B95))&amp;"|"&amp;TEXT(C95,"yyyymmdd")&amp;"|"&amp;UPPER(TRIM(G95))</f>
        <v/>
      </c>
      <c r="AE95">
        <f>COUNTIF($AD$2:$AD$121,AD95)</f>
        <v/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>
        <f>O96*P96</f>
        <v/>
      </c>
      <c r="X96" s="14">
        <f>W96*Q96</f>
        <v/>
      </c>
      <c r="Y96" s="14">
        <f>W96-X96</f>
        <v/>
      </c>
      <c r="Z96" s="14">
        <f>O96*R96</f>
        <v/>
      </c>
      <c r="AA96" s="14">
        <f>Y96-Z96</f>
        <v/>
      </c>
      <c r="AB96" s="15">
        <f>IF(Y96=0,0,AA96/Y96)</f>
        <v/>
      </c>
      <c r="AC96">
        <f>MAX(0,T96-S96)</f>
        <v/>
      </c>
      <c r="AD96">
        <f>UPPER(TRIM(J96))&amp;"|"&amp;UPPER(TRIM(B96))&amp;"|"&amp;TEXT(C96,"yyyymmdd")&amp;"|"&amp;UPPER(TRIM(G96))</f>
        <v/>
      </c>
      <c r="AE96">
        <f>COUNTIF($AD$2:$AD$121,AD96)</f>
        <v/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>
        <f>O97*P97</f>
        <v/>
      </c>
      <c r="X97" s="14">
        <f>W97*Q97</f>
        <v/>
      </c>
      <c r="Y97" s="14">
        <f>W97-X97</f>
        <v/>
      </c>
      <c r="Z97" s="14">
        <f>O97*R97</f>
        <v/>
      </c>
      <c r="AA97" s="14">
        <f>Y97-Z97</f>
        <v/>
      </c>
      <c r="AB97" s="15">
        <f>IF(Y97=0,0,AA97/Y97)</f>
        <v/>
      </c>
      <c r="AC97">
        <f>MAX(0,T97-S97)</f>
        <v/>
      </c>
      <c r="AD97">
        <f>UPPER(TRIM(J97))&amp;"|"&amp;UPPER(TRIM(B97))&amp;"|"&amp;TEXT(C97,"yyyymmdd")&amp;"|"&amp;UPPER(TRIM(G97))</f>
        <v/>
      </c>
      <c r="AE97">
        <f>COUNTIF($AD$2:$AD$121,AD97)</f>
        <v/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>
        <f>O98*P98</f>
        <v/>
      </c>
      <c r="X98" s="14">
        <f>W98*Q98</f>
        <v/>
      </c>
      <c r="Y98" s="14">
        <f>W98-X98</f>
        <v/>
      </c>
      <c r="Z98" s="14">
        <f>O98*R98</f>
        <v/>
      </c>
      <c r="AA98" s="14">
        <f>Y98-Z98</f>
        <v/>
      </c>
      <c r="AB98" s="15">
        <f>IF(Y98=0,0,AA98/Y98)</f>
        <v/>
      </c>
      <c r="AC98">
        <f>MAX(0,T98-S98)</f>
        <v/>
      </c>
      <c r="AD98">
        <f>UPPER(TRIM(J98))&amp;"|"&amp;UPPER(TRIM(B98))&amp;"|"&amp;TEXT(C98,"yyyymmdd")&amp;"|"&amp;UPPER(TRIM(G98))</f>
        <v/>
      </c>
      <c r="AE98">
        <f>COUNTIF($AD$2:$AD$121,AD98)</f>
        <v/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>
        <f>O99*P99</f>
        <v/>
      </c>
      <c r="X99" s="14">
        <f>W99*Q99</f>
        <v/>
      </c>
      <c r="Y99" s="14">
        <f>W99-X99</f>
        <v/>
      </c>
      <c r="Z99" s="14">
        <f>O99*R99</f>
        <v/>
      </c>
      <c r="AA99" s="14">
        <f>Y99-Z99</f>
        <v/>
      </c>
      <c r="AB99" s="15">
        <f>IF(Y99=0,0,AA99/Y99)</f>
        <v/>
      </c>
      <c r="AC99">
        <f>MAX(0,T99-S99)</f>
        <v/>
      </c>
      <c r="AD99">
        <f>UPPER(TRIM(J99))&amp;"|"&amp;UPPER(TRIM(B99))&amp;"|"&amp;TEXT(C99,"yyyymmdd")&amp;"|"&amp;UPPER(TRIM(G99))</f>
        <v/>
      </c>
      <c r="AE99">
        <f>COUNTIF($AD$2:$AD$121,AD99)</f>
        <v/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>
        <f>O100*P100</f>
        <v/>
      </c>
      <c r="X100" s="14">
        <f>W100*Q100</f>
        <v/>
      </c>
      <c r="Y100" s="14">
        <f>W100-X100</f>
        <v/>
      </c>
      <c r="Z100" s="14">
        <f>O100*R100</f>
        <v/>
      </c>
      <c r="AA100" s="14">
        <f>Y100-Z100</f>
        <v/>
      </c>
      <c r="AB100" s="15">
        <f>IF(Y100=0,0,AA100/Y100)</f>
        <v/>
      </c>
      <c r="AC100">
        <f>MAX(0,T100-S100)</f>
        <v/>
      </c>
      <c r="AD100">
        <f>UPPER(TRIM(J100))&amp;"|"&amp;UPPER(TRIM(B100))&amp;"|"&amp;TEXT(C100,"yyyymmdd")&amp;"|"&amp;UPPER(TRIM(G100))</f>
        <v/>
      </c>
      <c r="AE100">
        <f>COUNTIF($AD$2:$AD$121,AD100)</f>
        <v/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>
        <f>O101*P101</f>
        <v/>
      </c>
      <c r="X101" s="14">
        <f>W101*Q101</f>
        <v/>
      </c>
      <c r="Y101" s="14">
        <f>W101-X101</f>
        <v/>
      </c>
      <c r="Z101" s="14">
        <f>O101*R101</f>
        <v/>
      </c>
      <c r="AA101" s="14">
        <f>Y101-Z101</f>
        <v/>
      </c>
      <c r="AB101" s="15">
        <f>IF(Y101=0,0,AA101/Y101)</f>
        <v/>
      </c>
      <c r="AC101">
        <f>MAX(0,T101-S101)</f>
        <v/>
      </c>
      <c r="AD101">
        <f>UPPER(TRIM(J101))&amp;"|"&amp;UPPER(TRIM(B101))&amp;"|"&amp;TEXT(C101,"yyyymmdd")&amp;"|"&amp;UPPER(TRIM(G101))</f>
        <v/>
      </c>
      <c r="AE101">
        <f>COUNTIF($AD$2:$AD$121,AD101)</f>
        <v/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>
        <f>O102*P102</f>
        <v/>
      </c>
      <c r="X102" s="14">
        <f>W102*Q102</f>
        <v/>
      </c>
      <c r="Y102" s="14">
        <f>W102-X102</f>
        <v/>
      </c>
      <c r="Z102" s="14">
        <f>O102*R102</f>
        <v/>
      </c>
      <c r="AA102" s="14">
        <f>Y102-Z102</f>
        <v/>
      </c>
      <c r="AB102" s="15">
        <f>IF(Y102=0,0,AA102/Y102)</f>
        <v/>
      </c>
      <c r="AC102">
        <f>MAX(0,T102-S102)</f>
        <v/>
      </c>
      <c r="AD102">
        <f>UPPER(TRIM(J102))&amp;"|"&amp;UPPER(TRIM(B102))&amp;"|"&amp;TEXT(C102,"yyyymmdd")&amp;"|"&amp;UPPER(TRIM(G102))</f>
        <v/>
      </c>
      <c r="AE102">
        <f>COUNTIF($AD$2:$AD$121,AD102)</f>
        <v/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>
        <f>O103*P103</f>
        <v/>
      </c>
      <c r="X103" s="14">
        <f>W103*Q103</f>
        <v/>
      </c>
      <c r="Y103" s="14">
        <f>W103-X103</f>
        <v/>
      </c>
      <c r="Z103" s="14">
        <f>O103*R103</f>
        <v/>
      </c>
      <c r="AA103" s="14">
        <f>Y103-Z103</f>
        <v/>
      </c>
      <c r="AB103" s="15">
        <f>IF(Y103=0,0,AA103/Y103)</f>
        <v/>
      </c>
      <c r="AC103">
        <f>MAX(0,T103-S103)</f>
        <v/>
      </c>
      <c r="AD103">
        <f>UPPER(TRIM(J103))&amp;"|"&amp;UPPER(TRIM(B103))&amp;"|"&amp;TEXT(C103,"yyyymmdd")&amp;"|"&amp;UPPER(TRIM(G103))</f>
        <v/>
      </c>
      <c r="AE103">
        <f>COUNTIF($AD$2:$AD$121,AD103)</f>
        <v/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>
        <f>O104*P104</f>
        <v/>
      </c>
      <c r="X104" s="14">
        <f>W104*Q104</f>
        <v/>
      </c>
      <c r="Y104" s="14">
        <f>W104-X104</f>
        <v/>
      </c>
      <c r="Z104" s="14">
        <f>O104*R104</f>
        <v/>
      </c>
      <c r="AA104" s="14">
        <f>Y104-Z104</f>
        <v/>
      </c>
      <c r="AB104" s="15">
        <f>IF(Y104=0,0,AA104/Y104)</f>
        <v/>
      </c>
      <c r="AC104">
        <f>MAX(0,T104-S104)</f>
        <v/>
      </c>
      <c r="AD104">
        <f>UPPER(TRIM(J104))&amp;"|"&amp;UPPER(TRIM(B104))&amp;"|"&amp;TEXT(C104,"yyyymmdd")&amp;"|"&amp;UPPER(TRIM(G104))</f>
        <v/>
      </c>
      <c r="AE104">
        <f>COUNTIF($AD$2:$AD$121,AD104)</f>
        <v/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>
        <f>O105*P105</f>
        <v/>
      </c>
      <c r="X105" s="14">
        <f>W105*Q105</f>
        <v/>
      </c>
      <c r="Y105" s="14">
        <f>W105-X105</f>
        <v/>
      </c>
      <c r="Z105" s="14">
        <f>O105*R105</f>
        <v/>
      </c>
      <c r="AA105" s="14">
        <f>Y105-Z105</f>
        <v/>
      </c>
      <c r="AB105" s="15">
        <f>IF(Y105=0,0,AA105/Y105)</f>
        <v/>
      </c>
      <c r="AC105">
        <f>MAX(0,T105-S105)</f>
        <v/>
      </c>
      <c r="AD105">
        <f>UPPER(TRIM(J105))&amp;"|"&amp;UPPER(TRIM(B105))&amp;"|"&amp;TEXT(C105,"yyyymmdd")&amp;"|"&amp;UPPER(TRIM(G105))</f>
        <v/>
      </c>
      <c r="AE105">
        <f>COUNTIF($AD$2:$AD$121,AD105)</f>
        <v/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>
        <f>O106*P106</f>
        <v/>
      </c>
      <c r="X106" s="14">
        <f>W106*Q106</f>
        <v/>
      </c>
      <c r="Y106" s="14">
        <f>W106-X106</f>
        <v/>
      </c>
      <c r="Z106" s="14">
        <f>O106*R106</f>
        <v/>
      </c>
      <c r="AA106" s="14">
        <f>Y106-Z106</f>
        <v/>
      </c>
      <c r="AB106" s="15">
        <f>IF(Y106=0,0,AA106/Y106)</f>
        <v/>
      </c>
      <c r="AC106">
        <f>MAX(0,T106-S106)</f>
        <v/>
      </c>
      <c r="AD106">
        <f>UPPER(TRIM(J106))&amp;"|"&amp;UPPER(TRIM(B106))&amp;"|"&amp;TEXT(C106,"yyyymmdd")&amp;"|"&amp;UPPER(TRIM(G106))</f>
        <v/>
      </c>
      <c r="AE106">
        <f>COUNTIF($AD$2:$AD$121,AD106)</f>
        <v/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>
        <f>O107*P107</f>
        <v/>
      </c>
      <c r="X107" s="14">
        <f>W107*Q107</f>
        <v/>
      </c>
      <c r="Y107" s="14">
        <f>W107-X107</f>
        <v/>
      </c>
      <c r="Z107" s="14">
        <f>O107*R107</f>
        <v/>
      </c>
      <c r="AA107" s="14">
        <f>Y107-Z107</f>
        <v/>
      </c>
      <c r="AB107" s="15">
        <f>IF(Y107=0,0,AA107/Y107)</f>
        <v/>
      </c>
      <c r="AC107">
        <f>MAX(0,T107-S107)</f>
        <v/>
      </c>
      <c r="AD107">
        <f>UPPER(TRIM(J107))&amp;"|"&amp;UPPER(TRIM(B107))&amp;"|"&amp;TEXT(C107,"yyyymmdd")&amp;"|"&amp;UPPER(TRIM(G107))</f>
        <v/>
      </c>
      <c r="AE107">
        <f>COUNTIF($AD$2:$AD$121,AD107)</f>
        <v/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>
        <f>O108*P108</f>
        <v/>
      </c>
      <c r="X108" s="14">
        <f>W108*Q108</f>
        <v/>
      </c>
      <c r="Y108" s="14">
        <f>W108-X108</f>
        <v/>
      </c>
      <c r="Z108" s="14">
        <f>O108*R108</f>
        <v/>
      </c>
      <c r="AA108" s="14">
        <f>Y108-Z108</f>
        <v/>
      </c>
      <c r="AB108" s="15">
        <f>IF(Y108=0,0,AA108/Y108)</f>
        <v/>
      </c>
      <c r="AC108">
        <f>MAX(0,T108-S108)</f>
        <v/>
      </c>
      <c r="AD108">
        <f>UPPER(TRIM(J108))&amp;"|"&amp;UPPER(TRIM(B108))&amp;"|"&amp;TEXT(C108,"yyyymmdd")&amp;"|"&amp;UPPER(TRIM(G108))</f>
        <v/>
      </c>
      <c r="AE108">
        <f>COUNTIF($AD$2:$AD$121,AD108)</f>
        <v/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>
        <f>O109*P109</f>
        <v/>
      </c>
      <c r="X109" s="14">
        <f>W109*Q109</f>
        <v/>
      </c>
      <c r="Y109" s="14">
        <f>W109-X109</f>
        <v/>
      </c>
      <c r="Z109" s="14">
        <f>O109*R109</f>
        <v/>
      </c>
      <c r="AA109" s="14">
        <f>Y109-Z109</f>
        <v/>
      </c>
      <c r="AB109" s="15">
        <f>IF(Y109=0,0,AA109/Y109)</f>
        <v/>
      </c>
      <c r="AC109">
        <f>MAX(0,T109-S109)</f>
        <v/>
      </c>
      <c r="AD109">
        <f>UPPER(TRIM(J109))&amp;"|"&amp;UPPER(TRIM(B109))&amp;"|"&amp;TEXT(C109,"yyyymmdd")&amp;"|"&amp;UPPER(TRIM(G109))</f>
        <v/>
      </c>
      <c r="AE109">
        <f>COUNTIF($AD$2:$AD$121,AD109)</f>
        <v/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>
        <f>O110*P110</f>
        <v/>
      </c>
      <c r="X110" s="14">
        <f>W110*Q110</f>
        <v/>
      </c>
      <c r="Y110" s="14">
        <f>W110-X110</f>
        <v/>
      </c>
      <c r="Z110" s="14">
        <f>O110*R110</f>
        <v/>
      </c>
      <c r="AA110" s="14">
        <f>Y110-Z110</f>
        <v/>
      </c>
      <c r="AB110" s="15">
        <f>IF(Y110=0,0,AA110/Y110)</f>
        <v/>
      </c>
      <c r="AC110">
        <f>MAX(0,T110-S110)</f>
        <v/>
      </c>
      <c r="AD110">
        <f>UPPER(TRIM(J110))&amp;"|"&amp;UPPER(TRIM(B110))&amp;"|"&amp;TEXT(C110,"yyyymmdd")&amp;"|"&amp;UPPER(TRIM(G110))</f>
        <v/>
      </c>
      <c r="AE110">
        <f>COUNTIF($AD$2:$AD$121,AD110)</f>
        <v/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>
        <f>O111*P111</f>
        <v/>
      </c>
      <c r="X111" s="14">
        <f>W111*Q111</f>
        <v/>
      </c>
      <c r="Y111" s="14">
        <f>W111-X111</f>
        <v/>
      </c>
      <c r="Z111" s="14">
        <f>O111*R111</f>
        <v/>
      </c>
      <c r="AA111" s="14">
        <f>Y111-Z111</f>
        <v/>
      </c>
      <c r="AB111" s="15">
        <f>IF(Y111=0,0,AA111/Y111)</f>
        <v/>
      </c>
      <c r="AC111">
        <f>MAX(0,T111-S111)</f>
        <v/>
      </c>
      <c r="AD111">
        <f>UPPER(TRIM(J111))&amp;"|"&amp;UPPER(TRIM(B111))&amp;"|"&amp;TEXT(C111,"yyyymmdd")&amp;"|"&amp;UPPER(TRIM(G111))</f>
        <v/>
      </c>
      <c r="AE111">
        <f>COUNTIF($AD$2:$AD$121,AD111)</f>
        <v/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>
        <f>O112*P112</f>
        <v/>
      </c>
      <c r="X112" s="14">
        <f>W112*Q112</f>
        <v/>
      </c>
      <c r="Y112" s="14">
        <f>W112-X112</f>
        <v/>
      </c>
      <c r="Z112" s="14">
        <f>O112*R112</f>
        <v/>
      </c>
      <c r="AA112" s="14">
        <f>Y112-Z112</f>
        <v/>
      </c>
      <c r="AB112" s="15">
        <f>IF(Y112=0,0,AA112/Y112)</f>
        <v/>
      </c>
      <c r="AC112">
        <f>MAX(0,T112-S112)</f>
        <v/>
      </c>
      <c r="AD112">
        <f>UPPER(TRIM(J112))&amp;"|"&amp;UPPER(TRIM(B112))&amp;"|"&amp;TEXT(C112,"yyyymmdd")&amp;"|"&amp;UPPER(TRIM(G112))</f>
        <v/>
      </c>
      <c r="AE112">
        <f>COUNTIF($AD$2:$AD$121,AD112)</f>
        <v/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>
        <f>O113*P113</f>
        <v/>
      </c>
      <c r="X113" s="14">
        <f>W113*Q113</f>
        <v/>
      </c>
      <c r="Y113" s="14">
        <f>W113-X113</f>
        <v/>
      </c>
      <c r="Z113" s="14">
        <f>O113*R113</f>
        <v/>
      </c>
      <c r="AA113" s="14">
        <f>Y113-Z113</f>
        <v/>
      </c>
      <c r="AB113" s="15">
        <f>IF(Y113=0,0,AA113/Y113)</f>
        <v/>
      </c>
      <c r="AC113">
        <f>MAX(0,T113-S113)</f>
        <v/>
      </c>
      <c r="AD113">
        <f>UPPER(TRIM(J113))&amp;"|"&amp;UPPER(TRIM(B113))&amp;"|"&amp;TEXT(C113,"yyyymmdd")&amp;"|"&amp;UPPER(TRIM(G113))</f>
        <v/>
      </c>
      <c r="AE113">
        <f>COUNTIF($AD$2:$AD$121,AD113)</f>
        <v/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>
        <f>O114*P114</f>
        <v/>
      </c>
      <c r="X114" s="14">
        <f>W114*Q114</f>
        <v/>
      </c>
      <c r="Y114" s="14">
        <f>W114-X114</f>
        <v/>
      </c>
      <c r="Z114" s="14">
        <f>O114*R114</f>
        <v/>
      </c>
      <c r="AA114" s="14">
        <f>Y114-Z114</f>
        <v/>
      </c>
      <c r="AB114" s="15">
        <f>IF(Y114=0,0,AA114/Y114)</f>
        <v/>
      </c>
      <c r="AC114">
        <f>MAX(0,T114-S114)</f>
        <v/>
      </c>
      <c r="AD114">
        <f>UPPER(TRIM(J114))&amp;"|"&amp;UPPER(TRIM(B114))&amp;"|"&amp;TEXT(C114,"yyyymmdd")&amp;"|"&amp;UPPER(TRIM(G114))</f>
        <v/>
      </c>
      <c r="AE114">
        <f>COUNTIF($AD$2:$AD$121,AD114)</f>
        <v/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>
        <f>O115*P115</f>
        <v/>
      </c>
      <c r="X115" s="14">
        <f>W115*Q115</f>
        <v/>
      </c>
      <c r="Y115" s="14">
        <f>W115-X115</f>
        <v/>
      </c>
      <c r="Z115" s="14">
        <f>O115*R115</f>
        <v/>
      </c>
      <c r="AA115" s="14">
        <f>Y115-Z115</f>
        <v/>
      </c>
      <c r="AB115" s="15">
        <f>IF(Y115=0,0,AA115/Y115)</f>
        <v/>
      </c>
      <c r="AC115">
        <f>MAX(0,T115-S115)</f>
        <v/>
      </c>
      <c r="AD115">
        <f>UPPER(TRIM(J115))&amp;"|"&amp;UPPER(TRIM(B115))&amp;"|"&amp;TEXT(C115,"yyyymmdd")&amp;"|"&amp;UPPER(TRIM(G115))</f>
        <v/>
      </c>
      <c r="AE115">
        <f>COUNTIF($AD$2:$AD$121,AD115)</f>
        <v/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>
        <f>O116*P116</f>
        <v/>
      </c>
      <c r="X116" s="14">
        <f>W116*Q116</f>
        <v/>
      </c>
      <c r="Y116" s="14">
        <f>W116-X116</f>
        <v/>
      </c>
      <c r="Z116" s="14">
        <f>O116*R116</f>
        <v/>
      </c>
      <c r="AA116" s="14">
        <f>Y116-Z116</f>
        <v/>
      </c>
      <c r="AB116" s="15">
        <f>IF(Y116=0,0,AA116/Y116)</f>
        <v/>
      </c>
      <c r="AC116">
        <f>MAX(0,T116-S116)</f>
        <v/>
      </c>
      <c r="AD116">
        <f>UPPER(TRIM(J116))&amp;"|"&amp;UPPER(TRIM(B116))&amp;"|"&amp;TEXT(C116,"yyyymmdd")&amp;"|"&amp;UPPER(TRIM(G116))</f>
        <v/>
      </c>
      <c r="AE116">
        <f>COUNTIF($AD$2:$AD$121,AD116)</f>
        <v/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>
        <f>O117*P117</f>
        <v/>
      </c>
      <c r="X117" s="14">
        <f>W117*Q117</f>
        <v/>
      </c>
      <c r="Y117" s="14">
        <f>W117-X117</f>
        <v/>
      </c>
      <c r="Z117" s="14">
        <f>O117*R117</f>
        <v/>
      </c>
      <c r="AA117" s="14">
        <f>Y117-Z117</f>
        <v/>
      </c>
      <c r="AB117" s="15">
        <f>IF(Y117=0,0,AA117/Y117)</f>
        <v/>
      </c>
      <c r="AC117">
        <f>MAX(0,T117-S117)</f>
        <v/>
      </c>
      <c r="AD117">
        <f>UPPER(TRIM(J117))&amp;"|"&amp;UPPER(TRIM(B117))&amp;"|"&amp;TEXT(C117,"yyyymmdd")&amp;"|"&amp;UPPER(TRIM(G117))</f>
        <v/>
      </c>
      <c r="AE117">
        <f>COUNTIF($AD$2:$AD$121,AD117)</f>
        <v/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>
        <f>O118*P118</f>
        <v/>
      </c>
      <c r="X118" s="14">
        <f>W118*Q118</f>
        <v/>
      </c>
      <c r="Y118" s="14">
        <f>W118-X118</f>
        <v/>
      </c>
      <c r="Z118" s="14">
        <f>O118*R118</f>
        <v/>
      </c>
      <c r="AA118" s="14">
        <f>Y118-Z118</f>
        <v/>
      </c>
      <c r="AB118" s="15">
        <f>IF(Y118=0,0,AA118/Y118)</f>
        <v/>
      </c>
      <c r="AC118">
        <f>MAX(0,T118-S118)</f>
        <v/>
      </c>
      <c r="AD118">
        <f>UPPER(TRIM(J118))&amp;"|"&amp;UPPER(TRIM(B118))&amp;"|"&amp;TEXT(C118,"yyyymmdd")&amp;"|"&amp;UPPER(TRIM(G118))</f>
        <v/>
      </c>
      <c r="AE118">
        <f>COUNTIF($AD$2:$AD$121,AD118)</f>
        <v/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>
        <f>O119*P119</f>
        <v/>
      </c>
      <c r="X119" s="14">
        <f>W119*Q119</f>
        <v/>
      </c>
      <c r="Y119" s="14">
        <f>W119-X119</f>
        <v/>
      </c>
      <c r="Z119" s="14">
        <f>O119*R119</f>
        <v/>
      </c>
      <c r="AA119" s="14">
        <f>Y119-Z119</f>
        <v/>
      </c>
      <c r="AB119" s="15">
        <f>IF(Y119=0,0,AA119/Y119)</f>
        <v/>
      </c>
      <c r="AC119">
        <f>MAX(0,T119-S119)</f>
        <v/>
      </c>
      <c r="AD119">
        <f>UPPER(TRIM(J119))&amp;"|"&amp;UPPER(TRIM(B119))&amp;"|"&amp;TEXT(C119,"yyyymmdd")&amp;"|"&amp;UPPER(TRIM(G119))</f>
        <v/>
      </c>
      <c r="AE119">
        <f>COUNTIF($AD$2:$AD$121,AD119)</f>
        <v/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>
        <f>O120*P120</f>
        <v/>
      </c>
      <c r="X120" s="14">
        <f>W120*Q120</f>
        <v/>
      </c>
      <c r="Y120" s="14">
        <f>W120-X120</f>
        <v/>
      </c>
      <c r="Z120" s="14">
        <f>O120*R120</f>
        <v/>
      </c>
      <c r="AA120" s="14">
        <f>Y120-Z120</f>
        <v/>
      </c>
      <c r="AB120" s="15">
        <f>IF(Y120=0,0,AA120/Y120)</f>
        <v/>
      </c>
      <c r="AC120">
        <f>MAX(0,T120-S120)</f>
        <v/>
      </c>
      <c r="AD120">
        <f>UPPER(TRIM(J120))&amp;"|"&amp;UPPER(TRIM(B120))&amp;"|"&amp;TEXT(C120,"yyyymmdd")&amp;"|"&amp;UPPER(TRIM(G120))</f>
        <v/>
      </c>
      <c r="AE120">
        <f>COUNTIF($AD$2:$AD$121,AD120)</f>
        <v/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>
        <f>O121*P121</f>
        <v/>
      </c>
      <c r="X121" s="14">
        <f>W121*Q121</f>
        <v/>
      </c>
      <c r="Y121" s="14">
        <f>W121-X121</f>
        <v/>
      </c>
      <c r="Z121" s="14">
        <f>O121*R121</f>
        <v/>
      </c>
      <c r="AA121" s="14">
        <f>Y121-Z121</f>
        <v/>
      </c>
      <c r="AB121" s="15">
        <f>IF(Y121=0,0,AA121/Y121)</f>
        <v/>
      </c>
      <c r="AC121">
        <f>MAX(0,T121-S121)</f>
        <v/>
      </c>
      <c r="AD121">
        <f>UPPER(TRIM(J121))&amp;"|"&amp;UPPER(TRIM(B121))&amp;"|"&amp;TEXT(C121,"yyyymmdd")&amp;"|"&amp;UPPER(TRIM(G121))</f>
        <v/>
      </c>
      <c r="AE121">
        <f>COUNTIF($AD$2:$AD$121,AD121)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Corregido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Corregido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Corregido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Corregido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Corregido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n">
        <v>120</v>
      </c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>
        <f>B6</f>
        <v/>
      </c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>
        <f>B8</f>
        <v/>
      </c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8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32" customWidth="1" min="3" max="3"/>
  </cols>
  <sheetData>
    <row r="1" ht="24" customHeight="1">
      <c r="A1" s="1" t="inlineStr">
        <is>
          <t>Guia de solucion</t>
        </is>
      </c>
    </row>
    <row r="2">
      <c r="A2" t="inlineStr">
        <is>
          <t>Paso</t>
        </is>
      </c>
      <c r="B2" t="inlineStr">
        <is>
          <t>Accion</t>
        </is>
      </c>
      <c r="C2" t="inlineStr">
        <is>
          <t>Criterio de aceptacion</t>
        </is>
      </c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</row>
    <row r="4">
      <c r="A4" t="n">
        <v>1</v>
      </c>
      <c r="B4" t="inlineStr">
        <is>
          <t>Preservar original y registrar controles.</t>
        </is>
      </c>
      <c r="C4" t="inlineStr">
        <is>
          <t>Cumplido y documentado</t>
        </is>
      </c>
    </row>
    <row r="5">
      <c r="A5" t="n">
        <v>2</v>
      </c>
      <c r="B5" t="inlineStr">
        <is>
          <t>Corregir cobertura y tipos en la copia.</t>
        </is>
      </c>
      <c r="C5" t="inlineStr">
        <is>
          <t>Cumplido y documentado</t>
        </is>
      </c>
    </row>
    <row r="6">
      <c r="A6" t="n">
        <v>3</v>
      </c>
      <c r="B6" t="inlineStr">
        <is>
          <t>Usar tabla y referencias estructuradas.</t>
        </is>
      </c>
      <c r="C6" t="inlineStr">
        <is>
          <t>Cumplido y documentado</t>
        </is>
      </c>
    </row>
    <row r="7">
      <c r="A7" t="n">
        <v>4</v>
      </c>
      <c r="B7" t="inlineStr">
        <is>
          <t>Verificar formulas en primera, intermedia y ultima fila.</t>
        </is>
      </c>
      <c r="C7" t="inlineStr">
        <is>
          <t>Cumplido y documentado</t>
        </is>
      </c>
    </row>
    <row r="8">
      <c r="A8" t="n">
        <v>5</v>
      </c>
      <c r="B8" t="inlineStr">
        <is>
          <t>Aplicar la herramienta central de la leccion.</t>
        </is>
      </c>
      <c r="C8" t="inlineStr">
        <is>
          <t>Cumplido y documentado</t>
        </is>
      </c>
    </row>
    <row r="9">
      <c r="A9" t="n">
        <v>6</v>
      </c>
      <c r="B9" t="inlineStr">
        <is>
          <t>Comparar resultados con un control independiente.</t>
        </is>
      </c>
      <c r="C9" t="inlineStr">
        <is>
          <t>Cumplido y documentado</t>
        </is>
      </c>
    </row>
    <row r="10">
      <c r="A10" t="n">
        <v>7</v>
      </c>
      <c r="B10" t="inlineStr">
        <is>
          <t>Restaurar filtros y orden cuando corresponda.</t>
        </is>
      </c>
      <c r="C10" t="inlineStr">
        <is>
          <t>Cumplido y documentado</t>
        </is>
      </c>
    </row>
    <row r="11">
      <c r="A11" t="n">
        <v>8</v>
      </c>
      <c r="B11" t="inlineStr">
        <is>
          <t>Documentar evidencia y dejar diferencias en cero.</t>
        </is>
      </c>
      <c r="C11" t="inlineStr">
        <is>
          <t>Cumplido y documentado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4" customWidth="1" min="3" max="3"/>
    <col width="30" customWidth="1" min="4" max="4"/>
    <col width="20" customWidth="1" min="5" max="5"/>
  </cols>
  <sheetData>
    <row r="1" ht="24" customHeight="1">
      <c r="A1" s="1" t="inlineStr">
        <is>
          <t>Clasificacion de duplicados</t>
        </is>
      </c>
    </row>
    <row r="2">
      <c r="A2" t="inlineStr">
        <is>
          <t>Clave</t>
        </is>
      </c>
      <c r="B2" t="inlineStr">
        <is>
          <t>Conteo</t>
        </is>
      </c>
      <c r="C2" t="inlineStr">
        <is>
          <t>Clasificacion</t>
        </is>
      </c>
      <c r="D2" t="inlineStr">
        <is>
          <t>Accion</t>
        </is>
      </c>
      <c r="E2" t="inlineStr">
        <is>
          <t>Responsable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2026-09-04T01:46:07Z</dcterms:created>
  <dcterms:modified xmlns:dcterms="http://purl.org/dc/terms/" xmlns:xsi="http://www.w3.org/2001/XMLSchema-instance" xsi:type="dcterms:W3CDTF">2026-09-04T01:46:07Z</dcterms:modified>
</cp:coreProperties>
</file>