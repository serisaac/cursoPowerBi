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  <sheet xmlns:r="http://schemas.openxmlformats.org/officeDocument/2006/relationships" name="05_Panel" sheetId="8" state="visible" r:id="rId8"/>
    <sheet xmlns:r="http://schemas.openxmlformats.org/officeDocument/2006/relationships" name="06_Criterios" sheetId="9" state="visible" r:id="rId9"/>
    <sheet xmlns:r="http://schemas.openxmlformats.org/officeDocument/2006/relationships" name="08_Duplicado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OperacionesL18" displayName="tblOperacionesL18" ref="A1:AE241" headerRowCount="1">
  <autoFilter ref="A1:AE24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18</t>
        </is>
      </c>
    </row>
    <row r="2">
      <c r="A2" s="2" t="inlineStr">
        <is>
          <t>Evaluacion final y reto profesional del Modulo 3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Evaluacion final y reto profesional del Modulo 3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18</t>
        </is>
      </c>
    </row>
    <row r="2">
      <c r="A2" s="2" t="inlineStr">
        <is>
          <t>Evaluacion final y reto profesional del Modulo 3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Complete evaluacion, reto y simulacion.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Acredite con minimo 80 y cero errores criticos.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COUNTIF($AD$2:$AD$241,AD2)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COUNTIF($AD$2:$AD$241,AD3)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COUNTIF($AD$2:$AD$241,AD4)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COUNTIF($AD$2:$AD$241,AD5)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COUNTIF($AD$2:$AD$241,AD6)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COUNTIF($AD$2:$AD$241,AD7)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COUNTIF($AD$2:$AD$241,AD8)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COUNTIF($AD$2:$AD$241,AD9)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COUNTIF($AD$2:$AD$241,AD10)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COUNTIF($AD$2:$AD$241,AD11)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COUNTIF($AD$2:$AD$241,AD12)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COUNTIF($AD$2:$AD$241,AD13)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COUNTIF($AD$2:$AD$241,AD14)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COUNTIF($AD$2:$AD$241,AD15)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COUNTIF($AD$2:$AD$241,AD16)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COUNTIF($AD$2:$AD$241,AD17)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COUNTIF($AD$2:$AD$241,AD18)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COUNTIF($AD$2:$AD$241,AD19)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COUNTIF($AD$2:$AD$241,AD20)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COUNTIF($AD$2:$AD$241,AD21)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COUNTIF($AD$2:$AD$241,AD22)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COUNTIF($AD$2:$AD$241,AD23)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COUNTIF($AD$2:$AD$241,AD24)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COUNTIF($AD$2:$AD$241,AD25)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COUNTIF($AD$2:$AD$241,AD26)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COUNTIF($AD$2:$AD$241,AD27)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COUNTIF($AD$2:$AD$241,AD28)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COUNTIF($AD$2:$AD$241,AD29)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COUNTIF($AD$2:$AD$241,AD30)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COUNTIF($AD$2:$AD$241,AD31)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COUNTIF($AD$2:$AD$241,AD32)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COUNTIF($AD$2:$AD$241,AD33)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COUNTIF($AD$2:$AD$241,AD34)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COUNTIF($AD$2:$AD$241,AD35)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COUNTIF($AD$2:$AD$241,AD36)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COUNTIF($AD$2:$AD$241,AD37)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COUNTIF($AD$2:$AD$241,AD38)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COUNTIF($AD$2:$AD$241,AD39)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COUNTIF($AD$2:$AD$241,AD40)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COUNTIF($AD$2:$AD$241,AD41)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COUNTIF($AD$2:$AD$241,AD42)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COUNTIF($AD$2:$AD$241,AD43)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COUNTIF($AD$2:$AD$241,AD44)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COUNTIF($AD$2:$AD$241,AD45)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COUNTIF($AD$2:$AD$241,AD46)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COUNTIF($AD$2:$AD$241,AD47)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COUNTIF($AD$2:$AD$241,AD48)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COUNTIF($AD$2:$AD$241,AD49)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COUNTIF($AD$2:$AD$241,AD50)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COUNTIF($AD$2:$AD$241,AD51)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COUNTIF($AD$2:$AD$241,AD52)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COUNTIF($AD$2:$AD$241,AD53)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COUNTIF($AD$2:$AD$241,AD54)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COUNTIF($AD$2:$AD$241,AD55)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COUNTIF($AD$2:$AD$241,AD56)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COUNTIF($AD$2:$AD$241,AD57)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COUNTIF($AD$2:$AD$241,AD58)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COUNTIF($AD$2:$AD$241,AD59)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COUNTIF($AD$2:$AD$241,AD60)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COUNTIF($AD$2:$AD$241,AD61)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COUNTIF($AD$2:$AD$241,AD62)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COUNTIF($AD$2:$AD$241,AD63)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COUNTIF($AD$2:$AD$241,AD64)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COUNTIF($AD$2:$AD$241,AD65)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COUNTIF($AD$2:$AD$241,AD66)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COUNTIF($AD$2:$AD$241,AD67)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COUNTIF($AD$2:$AD$241,AD68)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COUNTIF($AD$2:$AD$241,AD69)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COUNTIF($AD$2:$AD$241,AD70)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COUNTIF($AD$2:$AD$241,AD71)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COUNTIF($AD$2:$AD$241,AD72)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COUNTIF($AD$2:$AD$241,AD73)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COUNTIF($AD$2:$AD$241,AD74)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COUNTIF($AD$2:$AD$241,AD75)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COUNTIF($AD$2:$AD$241,AD76)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COUNTIF($AD$2:$AD$241,AD77)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COUNTIF($AD$2:$AD$241,AD78)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COUNTIF($AD$2:$AD$241,AD79)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COUNTIF($AD$2:$AD$241,AD80)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COUNTIF($AD$2:$AD$241,AD81)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COUNTIF($AD$2:$AD$241,AD82)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COUNTIF($AD$2:$AD$241,AD83)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COUNTIF($AD$2:$AD$241,AD84)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COUNTIF($AD$2:$AD$241,AD85)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COUNTIF($AD$2:$AD$241,AD86)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COUNTIF($AD$2:$AD$241,AD87)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COUNTIF($AD$2:$AD$241,AD88)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COUNTIF($AD$2:$AD$241,AD89)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COUNTIF($AD$2:$AD$241,AD90)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COUNTIF($AD$2:$AD$241,AD91)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COUNTIF($AD$2:$AD$241,AD92)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COUNTIF($AD$2:$AD$241,AD93)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COUNTIF($AD$2:$AD$241,AD94)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COUNTIF($AD$2:$AD$241,AD95)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COUNTIF($AD$2:$AD$241,AD96)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COUNTIF($AD$2:$AD$241,AD97)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COUNTIF($AD$2:$AD$241,AD98)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COUNTIF($AD$2:$AD$241,AD99)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COUNTIF($AD$2:$AD$241,AD100)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COUNTIF($AD$2:$AD$241,AD101)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COUNTIF($AD$2:$AD$241,AD102)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COUNTIF($AD$2:$AD$241,AD103)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COUNTIF($AD$2:$AD$241,AD104)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COUNTIF($AD$2:$AD$241,AD105)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COUNTIF($AD$2:$AD$241,AD106)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COUNTIF($AD$2:$AD$241,AD107)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COUNTIF($AD$2:$AD$241,AD108)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COUNTIF($AD$2:$AD$241,AD109)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COUNTIF($AD$2:$AD$241,AD110)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COUNTIF($AD$2:$AD$241,AD111)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COUNTIF($AD$2:$AD$241,AD112)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COUNTIF($AD$2:$AD$241,AD113)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COUNTIF($AD$2:$AD$241,AD114)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COUNTIF($AD$2:$AD$241,AD115)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COUNTIF($AD$2:$AD$241,AD116)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COUNTIF($AD$2:$AD$241,AD117)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COUNTIF($AD$2:$AD$241,AD118)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COUNTIF($AD$2:$AD$241,AD119)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COUNTIF($AD$2:$AD$241,AD120)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COUNTIF($AD$2:$AD$241,AD121)</f>
        <v/>
      </c>
    </row>
    <row r="122">
      <c r="A122" t="n">
        <v>121</v>
      </c>
      <c r="B122" t="inlineStr">
        <is>
          <t>OP-000121</t>
        </is>
      </c>
      <c r="C122" s="12" t="n">
        <v>46150</v>
      </c>
      <c r="D122" s="13" t="n">
        <v>0.3368055555555556</v>
      </c>
      <c r="E122" t="inlineStr">
        <is>
          <t>C-0017</t>
        </is>
      </c>
      <c r="F122" t="inlineStr">
        <is>
          <t>Cliente 17</t>
        </is>
      </c>
      <c r="G122" t="inlineStr">
        <is>
          <t>P-100</t>
        </is>
      </c>
      <c r="H122" t="inlineStr">
        <is>
          <t>Monitor 24</t>
        </is>
      </c>
      <c r="I122" t="inlineStr">
        <is>
          <t>Tecnologia</t>
        </is>
      </c>
      <c r="J122" t="inlineStr">
        <is>
          <t>Norte</t>
        </is>
      </c>
      <c r="K122" t="inlineStr">
        <is>
          <t>SUC-02</t>
        </is>
      </c>
      <c r="L122" t="inlineStr">
        <is>
          <t>Tienda</t>
        </is>
      </c>
      <c r="M122" t="inlineStr">
        <is>
          <t>Pendiente</t>
        </is>
      </c>
      <c r="N122" t="inlineStr">
        <is>
          <t>Alta</t>
        </is>
      </c>
      <c r="O122" t="n">
        <v>35</v>
      </c>
      <c r="P122" s="14" t="n">
        <v>5077</v>
      </c>
      <c r="Q122" s="15" t="n">
        <v>0.05</v>
      </c>
      <c r="R122" s="14" t="n">
        <v>2843.12</v>
      </c>
      <c r="S122" s="12" t="n">
        <v>46158</v>
      </c>
      <c r="T122" s="12" t="n">
        <v>46154</v>
      </c>
      <c r="U122" t="inlineStr">
        <is>
          <t>Resp 2</t>
        </is>
      </c>
      <c r="V122" t="inlineStr">
        <is>
          <t>archivo_02.csv</t>
        </is>
      </c>
      <c r="W122" s="14">
        <f>O122*P122</f>
        <v/>
      </c>
      <c r="X122" s="14">
        <f>W122*Q122</f>
        <v/>
      </c>
      <c r="Y122" s="14">
        <f>W122-X122</f>
        <v/>
      </c>
      <c r="Z122" s="14">
        <f>O122*R122</f>
        <v/>
      </c>
      <c r="AA122" s="14">
        <f>Y122-Z122</f>
        <v/>
      </c>
      <c r="AB122" s="15">
        <f>IF(Y122=0,0,AA122/Y122)</f>
        <v/>
      </c>
      <c r="AC122">
        <f>MAX(0,T122-S122)</f>
        <v/>
      </c>
      <c r="AD122">
        <f>UPPER(TRIM(J122))&amp;"|"&amp;UPPER(TRIM(B122))&amp;"|"&amp;TEXT(C122,"yyyymmdd")&amp;"|"&amp;UPPER(TRIM(G122))</f>
        <v/>
      </c>
      <c r="AE122">
        <f>COUNTIF($AD$2:$AD$241,AD122)</f>
        <v/>
      </c>
    </row>
    <row r="123">
      <c r="A123" t="n">
        <v>122</v>
      </c>
      <c r="B123" t="inlineStr">
        <is>
          <t>OP-000122</t>
        </is>
      </c>
      <c r="C123" s="12" t="n">
        <v>46157</v>
      </c>
      <c r="D123" s="13" t="n">
        <v>0.3819444444444444</v>
      </c>
      <c r="E123" t="inlineStr">
        <is>
          <t>C-0018</t>
        </is>
      </c>
      <c r="F123" t="inlineStr">
        <is>
          <t>Cliente 18</t>
        </is>
      </c>
      <c r="G123" t="inlineStr">
        <is>
          <t>P-200</t>
        </is>
      </c>
      <c r="H123" t="inlineStr">
        <is>
          <t>Teclado</t>
        </is>
      </c>
      <c r="I123" t="inlineStr">
        <is>
          <t>Tecnologia</t>
        </is>
      </c>
      <c r="J123" t="inlineStr">
        <is>
          <t>Centro</t>
        </is>
      </c>
      <c r="K123" t="inlineStr">
        <is>
          <t>SUC-03</t>
        </is>
      </c>
      <c r="L123" t="inlineStr">
        <is>
          <t>Distribuidor</t>
        </is>
      </c>
      <c r="M123" t="inlineStr">
        <is>
          <t>Cancelado</t>
        </is>
      </c>
      <c r="N123" t="inlineStr">
        <is>
          <t>Media</t>
        </is>
      </c>
      <c r="O123" t="n">
        <v>38</v>
      </c>
      <c r="P123" s="14" t="n">
        <v>5214</v>
      </c>
      <c r="Q123" s="15" t="n">
        <v>0.1</v>
      </c>
      <c r="R123" s="14" t="n">
        <v>2971.98</v>
      </c>
      <c r="S123" s="12" t="n">
        <v>46166</v>
      </c>
      <c r="T123" s="12" t="n">
        <v>46162</v>
      </c>
      <c r="U123" t="inlineStr">
        <is>
          <t>Resp 3</t>
        </is>
      </c>
      <c r="V123" t="inlineStr">
        <is>
          <t>archivo_03.csv</t>
        </is>
      </c>
      <c r="W123" s="14">
        <f>O123*P123</f>
        <v/>
      </c>
      <c r="X123" s="14">
        <f>W123*Q123</f>
        <v/>
      </c>
      <c r="Y123" s="14">
        <f>W123-X123</f>
        <v/>
      </c>
      <c r="Z123" s="14">
        <f>O123*R123</f>
        <v/>
      </c>
      <c r="AA123" s="14">
        <f>Y123-Z123</f>
        <v/>
      </c>
      <c r="AB123" s="15">
        <f>IF(Y123=0,0,AA123/Y123)</f>
        <v/>
      </c>
      <c r="AC123">
        <f>MAX(0,T123-S123)</f>
        <v/>
      </c>
      <c r="AD123">
        <f>UPPER(TRIM(J123))&amp;"|"&amp;UPPER(TRIM(B123))&amp;"|"&amp;TEXT(C123,"yyyymmdd")&amp;"|"&amp;UPPER(TRIM(G123))</f>
        <v/>
      </c>
      <c r="AE123">
        <f>COUNTIF($AD$2:$AD$241,AD123)</f>
        <v/>
      </c>
    </row>
    <row r="124">
      <c r="A124" t="n">
        <v>123</v>
      </c>
      <c r="B124" t="inlineStr">
        <is>
          <t>OP-000123</t>
        </is>
      </c>
      <c r="C124" s="12" t="n">
        <v>46164</v>
      </c>
      <c r="D124" s="13" t="n">
        <v>0.4270833333333333</v>
      </c>
      <c r="E124" t="inlineStr">
        <is>
          <t>C-0019</t>
        </is>
      </c>
      <c r="F124" t="inlineStr">
        <is>
          <t>Cliente 19</t>
        </is>
      </c>
      <c r="G124" t="inlineStr">
        <is>
          <t>P-300</t>
        </is>
      </c>
      <c r="H124" t="inlineStr">
        <is>
          <t>Mouse</t>
        </is>
      </c>
      <c r="I124" t="inlineStr">
        <is>
          <t>Tecnologia</t>
        </is>
      </c>
      <c r="J124" t="inlineStr">
        <is>
          <t>Sur</t>
        </is>
      </c>
      <c r="K124" t="inlineStr">
        <is>
          <t>SUC-04</t>
        </is>
      </c>
      <c r="L124" t="inlineStr">
        <is>
          <t>Digital</t>
        </is>
      </c>
      <c r="M124" t="inlineStr">
        <is>
          <t>En revision</t>
        </is>
      </c>
      <c r="N124" t="inlineStr">
        <is>
          <t>Baja</t>
        </is>
      </c>
      <c r="O124" t="n">
        <v>41</v>
      </c>
      <c r="P124" s="14" t="n">
        <v>5351</v>
      </c>
      <c r="Q124" s="15" t="n">
        <v>0.15</v>
      </c>
      <c r="R124" s="14" t="n">
        <v>3103.58</v>
      </c>
      <c r="S124" s="12" t="n">
        <v>46174</v>
      </c>
      <c r="T124" s="12" t="n">
        <v>46170</v>
      </c>
      <c r="U124" t="inlineStr">
        <is>
          <t>Resp 4</t>
        </is>
      </c>
      <c r="V124" t="inlineStr">
        <is>
          <t>archivo_04.csv</t>
        </is>
      </c>
      <c r="W124" s="14">
        <f>O124*P124</f>
        <v/>
      </c>
      <c r="X124" s="14">
        <f>W124*Q124</f>
        <v/>
      </c>
      <c r="Y124" s="14">
        <f>W124-X124</f>
        <v/>
      </c>
      <c r="Z124" s="14">
        <f>O124*R124</f>
        <v/>
      </c>
      <c r="AA124" s="14">
        <f>Y124-Z124</f>
        <v/>
      </c>
      <c r="AB124" s="15">
        <f>IF(Y124=0,0,AA124/Y124)</f>
        <v/>
      </c>
      <c r="AC124">
        <f>MAX(0,T124-S124)</f>
        <v/>
      </c>
      <c r="AD124">
        <f>UPPER(TRIM(J124))&amp;"|"&amp;UPPER(TRIM(B124))&amp;"|"&amp;TEXT(C124,"yyyymmdd")&amp;"|"&amp;UPPER(TRIM(G124))</f>
        <v/>
      </c>
      <c r="AE124">
        <f>COUNTIF($AD$2:$AD$241,AD124)</f>
        <v/>
      </c>
    </row>
    <row r="125">
      <c r="A125" t="n">
        <v>124</v>
      </c>
      <c r="B125" t="inlineStr">
        <is>
          <t>OP-000124</t>
        </is>
      </c>
      <c r="C125" s="12" t="n">
        <v>46171</v>
      </c>
      <c r="D125" s="13" t="n">
        <v>0.4722222222222222</v>
      </c>
      <c r="E125" t="inlineStr">
        <is>
          <t>C-0020</t>
        </is>
      </c>
      <c r="F125" t="inlineStr">
        <is>
          <t>Cliente 20</t>
        </is>
      </c>
      <c r="G125" t="inlineStr">
        <is>
          <t>P-400</t>
        </is>
      </c>
      <c r="H125" t="inlineStr">
        <is>
          <t>Laptop</t>
        </is>
      </c>
      <c r="I125" t="inlineStr">
        <is>
          <t>Tecnologia</t>
        </is>
      </c>
      <c r="J125" t="inlineStr">
        <is>
          <t>Pacifico</t>
        </is>
      </c>
      <c r="K125" t="inlineStr">
        <is>
          <t>SUC-05</t>
        </is>
      </c>
      <c r="L125" t="inlineStr">
        <is>
          <t>Tienda</t>
        </is>
      </c>
      <c r="M125" t="inlineStr">
        <is>
          <t>Aprobado</t>
        </is>
      </c>
      <c r="N125" t="inlineStr">
        <is>
          <t>Critica</t>
        </is>
      </c>
      <c r="O125" t="n">
        <v>44</v>
      </c>
      <c r="P125" s="14" t="n">
        <v>5488</v>
      </c>
      <c r="Q125" s="15" t="n">
        <v>0</v>
      </c>
      <c r="R125" s="14" t="n">
        <v>3237.92</v>
      </c>
      <c r="S125" s="12" t="n">
        <v>46182</v>
      </c>
      <c r="T125" s="12" t="n">
        <v>46178</v>
      </c>
      <c r="U125" t="inlineStr">
        <is>
          <t>Resp 5</t>
        </is>
      </c>
      <c r="V125" t="inlineStr">
        <is>
          <t>archivo_05.csv</t>
        </is>
      </c>
      <c r="W125" s="14">
        <f>O125*P125</f>
        <v/>
      </c>
      <c r="X125" s="14">
        <f>W125*Q125</f>
        <v/>
      </c>
      <c r="Y125" s="14">
        <f>W125-X125</f>
        <v/>
      </c>
      <c r="Z125" s="14">
        <f>O125*R125</f>
        <v/>
      </c>
      <c r="AA125" s="14">
        <f>Y125-Z125</f>
        <v/>
      </c>
      <c r="AB125" s="15">
        <f>IF(Y125=0,0,AA125/Y125)</f>
        <v/>
      </c>
      <c r="AC125">
        <f>MAX(0,T125-S125)</f>
        <v/>
      </c>
      <c r="AD125">
        <f>UPPER(TRIM(J125))&amp;"|"&amp;UPPER(TRIM(B125))&amp;"|"&amp;TEXT(C125,"yyyymmdd")&amp;"|"&amp;UPPER(TRIM(G125))</f>
        <v/>
      </c>
      <c r="AE125">
        <f>COUNTIF($AD$2:$AD$241,AD125)</f>
        <v/>
      </c>
    </row>
    <row r="126">
      <c r="A126" t="n">
        <v>125</v>
      </c>
      <c r="B126" t="inlineStr">
        <is>
          <t>OP-000125</t>
        </is>
      </c>
      <c r="C126" s="12" t="n">
        <v>46178</v>
      </c>
      <c r="D126" s="13" t="n">
        <v>0.5173611111111112</v>
      </c>
      <c r="E126" t="inlineStr">
        <is>
          <t>C-0021</t>
        </is>
      </c>
      <c r="F126" t="inlineStr">
        <is>
          <t>Cliente 21</t>
        </is>
      </c>
      <c r="G126" t="inlineStr">
        <is>
          <t>P-500</t>
        </is>
      </c>
      <c r="H126" t="inlineStr">
        <is>
          <t>Dock</t>
        </is>
      </c>
      <c r="I126" t="inlineStr">
        <is>
          <t>Tecnologia</t>
        </is>
      </c>
      <c r="J126" t="inlineStr">
        <is>
          <t>Norte</t>
        </is>
      </c>
      <c r="K126" t="inlineStr">
        <is>
          <t>SUC-06</t>
        </is>
      </c>
      <c r="L126" t="inlineStr">
        <is>
          <t>Distribuidor</t>
        </is>
      </c>
      <c r="M126" t="inlineStr">
        <is>
          <t>Pendiente</t>
        </is>
      </c>
      <c r="N126" t="inlineStr">
        <is>
          <t>Alta</t>
        </is>
      </c>
      <c r="O126" t="n">
        <v>47</v>
      </c>
      <c r="P126" s="14" t="n">
        <v>5625</v>
      </c>
      <c r="Q126" s="15" t="n">
        <v>0.05</v>
      </c>
      <c r="R126" s="14" t="n">
        <v>3375</v>
      </c>
      <c r="S126" s="12" t="n">
        <v>46190</v>
      </c>
      <c r="T126" s="12" t="n">
        <v>46186</v>
      </c>
      <c r="U126" t="inlineStr">
        <is>
          <t>Resp 6</t>
        </is>
      </c>
      <c r="V126" t="inlineStr">
        <is>
          <t>archivo_06.csv</t>
        </is>
      </c>
      <c r="W126" s="14">
        <f>O126*P126</f>
        <v/>
      </c>
      <c r="X126" s="14">
        <f>W126*Q126</f>
        <v/>
      </c>
      <c r="Y126" s="14">
        <f>W126-X126</f>
        <v/>
      </c>
      <c r="Z126" s="14">
        <f>O126*R126</f>
        <v/>
      </c>
      <c r="AA126" s="14">
        <f>Y126-Z126</f>
        <v/>
      </c>
      <c r="AB126" s="15">
        <f>IF(Y126=0,0,AA126/Y126)</f>
        <v/>
      </c>
      <c r="AC126">
        <f>MAX(0,T126-S126)</f>
        <v/>
      </c>
      <c r="AD126">
        <f>UPPER(TRIM(J126))&amp;"|"&amp;UPPER(TRIM(B126))&amp;"|"&amp;TEXT(C126,"yyyymmdd")&amp;"|"&amp;UPPER(TRIM(G126))</f>
        <v/>
      </c>
      <c r="AE126">
        <f>COUNTIF($AD$2:$AD$241,AD126)</f>
        <v/>
      </c>
    </row>
    <row r="127">
      <c r="A127" t="n">
        <v>126</v>
      </c>
      <c r="B127" t="inlineStr">
        <is>
          <t>OP-000126</t>
        </is>
      </c>
      <c r="C127" s="12" t="n">
        <v>46185</v>
      </c>
      <c r="D127" s="13" t="n">
        <v>0.5625</v>
      </c>
      <c r="E127" t="inlineStr">
        <is>
          <t>C-0022</t>
        </is>
      </c>
      <c r="F127" t="inlineStr">
        <is>
          <t>Cliente 22</t>
        </is>
      </c>
      <c r="G127" t="inlineStr">
        <is>
          <t>P-100</t>
        </is>
      </c>
      <c r="H127" t="inlineStr">
        <is>
          <t>Monitor 24</t>
        </is>
      </c>
      <c r="I127" t="inlineStr">
        <is>
          <t>Tecnologia</t>
        </is>
      </c>
      <c r="J127" t="inlineStr">
        <is>
          <t>Centro</t>
        </is>
      </c>
      <c r="K127" t="inlineStr">
        <is>
          <t>SUC-07</t>
        </is>
      </c>
      <c r="L127" t="inlineStr">
        <is>
          <t>Digital</t>
        </is>
      </c>
      <c r="M127" t="inlineStr">
        <is>
          <t>Cancelado</t>
        </is>
      </c>
      <c r="N127" t="inlineStr">
        <is>
          <t>Media</t>
        </is>
      </c>
      <c r="O127" t="n">
        <v>3</v>
      </c>
      <c r="P127" s="14" t="n">
        <v>5762</v>
      </c>
      <c r="Q127" s="15" t="n">
        <v>0.1</v>
      </c>
      <c r="R127" s="14" t="n">
        <v>3514.82</v>
      </c>
      <c r="S127" s="12" t="n">
        <v>46198</v>
      </c>
      <c r="T127" s="12" t="n">
        <v>46194</v>
      </c>
      <c r="U127" t="inlineStr">
        <is>
          <t>Resp 7</t>
        </is>
      </c>
      <c r="V127" t="inlineStr">
        <is>
          <t>archivo_01.csv</t>
        </is>
      </c>
      <c r="W127" s="14">
        <f>O127*P127</f>
        <v/>
      </c>
      <c r="X127" s="14">
        <f>W127*Q127</f>
        <v/>
      </c>
      <c r="Y127" s="14">
        <f>W127-X127</f>
        <v/>
      </c>
      <c r="Z127" s="14">
        <f>O127*R127</f>
        <v/>
      </c>
      <c r="AA127" s="14">
        <f>Y127-Z127</f>
        <v/>
      </c>
      <c r="AB127" s="15">
        <f>IF(Y127=0,0,AA127/Y127)</f>
        <v/>
      </c>
      <c r="AC127">
        <f>MAX(0,T127-S127)</f>
        <v/>
      </c>
      <c r="AD127">
        <f>UPPER(TRIM(J127))&amp;"|"&amp;UPPER(TRIM(B127))&amp;"|"&amp;TEXT(C127,"yyyymmdd")&amp;"|"&amp;UPPER(TRIM(G127))</f>
        <v/>
      </c>
      <c r="AE127">
        <f>COUNTIF($AD$2:$AD$241,AD127)</f>
        <v/>
      </c>
    </row>
    <row r="128">
      <c r="A128" t="n">
        <v>127</v>
      </c>
      <c r="B128" t="inlineStr">
        <is>
          <t>OP-000127</t>
        </is>
      </c>
      <c r="C128" s="12" t="n">
        <v>46192</v>
      </c>
      <c r="D128" s="13" t="n">
        <v>0.6076388888888888</v>
      </c>
      <c r="E128" t="inlineStr">
        <is>
          <t>C-0023</t>
        </is>
      </c>
      <c r="F128" t="inlineStr">
        <is>
          <t>Cliente 23</t>
        </is>
      </c>
      <c r="G128" t="inlineStr">
        <is>
          <t>P-200</t>
        </is>
      </c>
      <c r="H128" t="inlineStr">
        <is>
          <t>Teclado</t>
        </is>
      </c>
      <c r="I128" t="inlineStr">
        <is>
          <t>Tecnologia</t>
        </is>
      </c>
      <c r="J128" t="inlineStr">
        <is>
          <t>Sur</t>
        </is>
      </c>
      <c r="K128" t="inlineStr">
        <is>
          <t>SUC-08</t>
        </is>
      </c>
      <c r="L128" t="inlineStr">
        <is>
          <t>Tienda</t>
        </is>
      </c>
      <c r="M128" t="inlineStr">
        <is>
          <t>En revision</t>
        </is>
      </c>
      <c r="N128" t="inlineStr">
        <is>
          <t>Baja</t>
        </is>
      </c>
      <c r="O128" t="n">
        <v>6</v>
      </c>
      <c r="P128" s="14" t="n">
        <v>5899</v>
      </c>
      <c r="Q128" s="15" t="n">
        <v>0.15</v>
      </c>
      <c r="R128" s="14" t="n">
        <v>3657.38</v>
      </c>
      <c r="S128" s="12" t="n">
        <v>46206</v>
      </c>
      <c r="T128" s="12" t="n">
        <v>46202</v>
      </c>
      <c r="U128" t="inlineStr">
        <is>
          <t>Resp 8</t>
        </is>
      </c>
      <c r="V128" t="inlineStr">
        <is>
          <t>archivo_02.csv</t>
        </is>
      </c>
      <c r="W128" s="14">
        <f>O128*P128</f>
        <v/>
      </c>
      <c r="X128" s="14">
        <f>W128*Q128</f>
        <v/>
      </c>
      <c r="Y128" s="14">
        <f>W128-X128</f>
        <v/>
      </c>
      <c r="Z128" s="14">
        <f>O128*R128</f>
        <v/>
      </c>
      <c r="AA128" s="14">
        <f>Y128-Z128</f>
        <v/>
      </c>
      <c r="AB128" s="15">
        <f>IF(Y128=0,0,AA128/Y128)</f>
        <v/>
      </c>
      <c r="AC128">
        <f>MAX(0,T128-S128)</f>
        <v/>
      </c>
      <c r="AD128">
        <f>UPPER(TRIM(J128))&amp;"|"&amp;UPPER(TRIM(B128))&amp;"|"&amp;TEXT(C128,"yyyymmdd")&amp;"|"&amp;UPPER(TRIM(G128))</f>
        <v/>
      </c>
      <c r="AE128">
        <f>COUNTIF($AD$2:$AD$241,AD128)</f>
        <v/>
      </c>
    </row>
    <row r="129">
      <c r="A129" t="n">
        <v>128</v>
      </c>
      <c r="B129" t="inlineStr">
        <is>
          <t>OP-000128</t>
        </is>
      </c>
      <c r="C129" s="12" t="n">
        <v>46199</v>
      </c>
      <c r="D129" s="13" t="n">
        <v>0.6527777777777778</v>
      </c>
      <c r="E129" t="inlineStr">
        <is>
          <t>C-0024</t>
        </is>
      </c>
      <c r="F129" t="inlineStr">
        <is>
          <t>Cliente 24</t>
        </is>
      </c>
      <c r="G129" t="inlineStr">
        <is>
          <t>P-300</t>
        </is>
      </c>
      <c r="H129" t="inlineStr">
        <is>
          <t>Mouse</t>
        </is>
      </c>
      <c r="I129" t="inlineStr">
        <is>
          <t>Tecnologia</t>
        </is>
      </c>
      <c r="J129" t="inlineStr">
        <is>
          <t>Pacifico</t>
        </is>
      </c>
      <c r="K129" t="inlineStr">
        <is>
          <t>SUC-01</t>
        </is>
      </c>
      <c r="L129" t="inlineStr">
        <is>
          <t>Distribuidor</t>
        </is>
      </c>
      <c r="M129" t="inlineStr">
        <is>
          <t>Aprobado</t>
        </is>
      </c>
      <c r="N129" t="inlineStr">
        <is>
          <t>Critica</t>
        </is>
      </c>
      <c r="O129" t="n">
        <v>9</v>
      </c>
      <c r="P129" s="14" t="n">
        <v>6036</v>
      </c>
      <c r="Q129" s="15" t="n">
        <v>0</v>
      </c>
      <c r="R129" s="14" t="n">
        <v>3319.8</v>
      </c>
      <c r="S129" s="12" t="n">
        <v>46214</v>
      </c>
      <c r="T129" s="12" t="n">
        <v>46210</v>
      </c>
      <c r="U129" t="inlineStr">
        <is>
          <t>Resp 9</t>
        </is>
      </c>
      <c r="V129" t="inlineStr">
        <is>
          <t>archivo_03.csv</t>
        </is>
      </c>
      <c r="W129" s="14">
        <f>O129*P129</f>
        <v/>
      </c>
      <c r="X129" s="14">
        <f>W129*Q129</f>
        <v/>
      </c>
      <c r="Y129" s="14">
        <f>W129-X129</f>
        <v/>
      </c>
      <c r="Z129" s="14">
        <f>O129*R129</f>
        <v/>
      </c>
      <c r="AA129" s="14">
        <f>Y129-Z129</f>
        <v/>
      </c>
      <c r="AB129" s="15">
        <f>IF(Y129=0,0,AA129/Y129)</f>
        <v/>
      </c>
      <c r="AC129">
        <f>MAX(0,T129-S129)</f>
        <v/>
      </c>
      <c r="AD129">
        <f>UPPER(TRIM(J129))&amp;"|"&amp;UPPER(TRIM(B129))&amp;"|"&amp;TEXT(C129,"yyyymmdd")&amp;"|"&amp;UPPER(TRIM(G129))</f>
        <v/>
      </c>
      <c r="AE129">
        <f>COUNTIF($AD$2:$AD$241,AD129)</f>
        <v/>
      </c>
    </row>
    <row r="130">
      <c r="A130" t="n">
        <v>129</v>
      </c>
      <c r="B130" t="inlineStr">
        <is>
          <t>OP-000129</t>
        </is>
      </c>
      <c r="C130" s="12" t="n">
        <v>46206</v>
      </c>
      <c r="D130" s="13" t="n">
        <v>0.6979166666666666</v>
      </c>
      <c r="E130" t="inlineStr">
        <is>
          <t>C-0025</t>
        </is>
      </c>
      <c r="F130" t="inlineStr">
        <is>
          <t>Cliente 25</t>
        </is>
      </c>
      <c r="G130" t="inlineStr">
        <is>
          <t>P-400</t>
        </is>
      </c>
      <c r="H130" t="inlineStr">
        <is>
          <t>Laptop</t>
        </is>
      </c>
      <c r="I130" t="inlineStr">
        <is>
          <t>Tecnologia</t>
        </is>
      </c>
      <c r="J130" t="inlineStr">
        <is>
          <t>Norte</t>
        </is>
      </c>
      <c r="K130" t="inlineStr">
        <is>
          <t>SUC-02</t>
        </is>
      </c>
      <c r="L130" t="inlineStr">
        <is>
          <t>Digital</t>
        </is>
      </c>
      <c r="M130" t="inlineStr">
        <is>
          <t>Pendiente</t>
        </is>
      </c>
      <c r="N130" t="inlineStr">
        <is>
          <t>Alta</t>
        </is>
      </c>
      <c r="O130" t="n">
        <v>12</v>
      </c>
      <c r="P130" s="14" t="n">
        <v>6173</v>
      </c>
      <c r="Q130" s="15" t="n">
        <v>0.05</v>
      </c>
      <c r="R130" s="14" t="n">
        <v>3456.88</v>
      </c>
      <c r="S130" s="12" t="n">
        <v>46222</v>
      </c>
      <c r="T130" s="12" t="n">
        <v>46218</v>
      </c>
      <c r="U130" t="inlineStr">
        <is>
          <t>Resp 10</t>
        </is>
      </c>
      <c r="V130" t="inlineStr">
        <is>
          <t>archivo_04.csv</t>
        </is>
      </c>
      <c r="W130" s="14">
        <f>O130*P130</f>
        <v/>
      </c>
      <c r="X130" s="14">
        <f>W130*Q130</f>
        <v/>
      </c>
      <c r="Y130" s="14">
        <f>W130-X130</f>
        <v/>
      </c>
      <c r="Z130" s="14">
        <f>O130*R130</f>
        <v/>
      </c>
      <c r="AA130" s="14">
        <f>Y130-Z130</f>
        <v/>
      </c>
      <c r="AB130" s="15">
        <f>IF(Y130=0,0,AA130/Y130)</f>
        <v/>
      </c>
      <c r="AC130">
        <f>MAX(0,T130-S130)</f>
        <v/>
      </c>
      <c r="AD130">
        <f>UPPER(TRIM(J130))&amp;"|"&amp;UPPER(TRIM(B130))&amp;"|"&amp;TEXT(C130,"yyyymmdd")&amp;"|"&amp;UPPER(TRIM(G130))</f>
        <v/>
      </c>
      <c r="AE130">
        <f>COUNTIF($AD$2:$AD$241,AD130)</f>
        <v/>
      </c>
    </row>
    <row r="131">
      <c r="A131" t="n">
        <v>130</v>
      </c>
      <c r="B131" t="inlineStr">
        <is>
          <t>OP-000130</t>
        </is>
      </c>
      <c r="C131" s="12" t="n">
        <v>46213</v>
      </c>
      <c r="D131" s="13" t="n">
        <v>0.7430555555555556</v>
      </c>
      <c r="E131" t="inlineStr">
        <is>
          <t>C-0026</t>
        </is>
      </c>
      <c r="F131" t="inlineStr">
        <is>
          <t>Cliente 26</t>
        </is>
      </c>
      <c r="G131" t="inlineStr">
        <is>
          <t>P-500</t>
        </is>
      </c>
      <c r="H131" t="inlineStr">
        <is>
          <t>Dock</t>
        </is>
      </c>
      <c r="I131" t="inlineStr">
        <is>
          <t>Tecnologia</t>
        </is>
      </c>
      <c r="J131" t="inlineStr">
        <is>
          <t>Centro</t>
        </is>
      </c>
      <c r="K131" t="inlineStr">
        <is>
          <t>SUC-03</t>
        </is>
      </c>
      <c r="L131" t="inlineStr">
        <is>
          <t>Tienda</t>
        </is>
      </c>
      <c r="M131" t="inlineStr">
        <is>
          <t>Cancelado</t>
        </is>
      </c>
      <c r="N131" t="inlineStr">
        <is>
          <t>Media</t>
        </is>
      </c>
      <c r="O131" t="n">
        <v>15</v>
      </c>
      <c r="P131" s="14" t="n">
        <v>6310</v>
      </c>
      <c r="Q131" s="15" t="n">
        <v>0.1</v>
      </c>
      <c r="R131" s="14" t="n">
        <v>3596.7</v>
      </c>
      <c r="S131" s="12" t="n">
        <v>46220</v>
      </c>
      <c r="T131" s="12" t="n">
        <v>46226</v>
      </c>
      <c r="U131" t="inlineStr">
        <is>
          <t>Resp 11</t>
        </is>
      </c>
      <c r="V131" t="inlineStr">
        <is>
          <t>archivo_05.csv</t>
        </is>
      </c>
      <c r="W131" s="14">
        <f>O131*P131</f>
        <v/>
      </c>
      <c r="X131" s="14">
        <f>W131*Q131</f>
        <v/>
      </c>
      <c r="Y131" s="14">
        <f>W131-X131</f>
        <v/>
      </c>
      <c r="Z131" s="14">
        <f>O131*R131</f>
        <v/>
      </c>
      <c r="AA131" s="14">
        <f>Y131-Z131</f>
        <v/>
      </c>
      <c r="AB131" s="15">
        <f>IF(Y131=0,0,AA131/Y131)</f>
        <v/>
      </c>
      <c r="AC131">
        <f>MAX(0,T131-S131)</f>
        <v/>
      </c>
      <c r="AD131">
        <f>UPPER(TRIM(J131))&amp;"|"&amp;UPPER(TRIM(B131))&amp;"|"&amp;TEXT(C131,"yyyymmdd")&amp;"|"&amp;UPPER(TRIM(G131))</f>
        <v/>
      </c>
      <c r="AE131">
        <f>COUNTIF($AD$2:$AD$241,AD131)</f>
        <v/>
      </c>
    </row>
    <row r="132">
      <c r="A132" t="n">
        <v>131</v>
      </c>
      <c r="B132" t="inlineStr">
        <is>
          <t>OP-000131</t>
        </is>
      </c>
      <c r="C132" s="12" t="n">
        <v>46220</v>
      </c>
      <c r="D132" s="13" t="n">
        <v>0.7881944444444444</v>
      </c>
      <c r="E132" t="inlineStr">
        <is>
          <t>C-0027</t>
        </is>
      </c>
      <c r="F132" t="inlineStr">
        <is>
          <t>Cliente 27</t>
        </is>
      </c>
      <c r="G132" t="inlineStr">
        <is>
          <t>P-100</t>
        </is>
      </c>
      <c r="H132" t="inlineStr">
        <is>
          <t>Monitor 24</t>
        </is>
      </c>
      <c r="I132" t="inlineStr">
        <is>
          <t>Tecnologia</t>
        </is>
      </c>
      <c r="J132" t="inlineStr">
        <is>
          <t>Sur</t>
        </is>
      </c>
      <c r="K132" t="inlineStr">
        <is>
          <t>SUC-04</t>
        </is>
      </c>
      <c r="L132" t="inlineStr">
        <is>
          <t>Distribuidor</t>
        </is>
      </c>
      <c r="M132" t="inlineStr">
        <is>
          <t>En revision</t>
        </is>
      </c>
      <c r="N132" t="inlineStr">
        <is>
          <t>Baja</t>
        </is>
      </c>
      <c r="O132" t="n">
        <v>18</v>
      </c>
      <c r="P132" s="14" t="n">
        <v>6447</v>
      </c>
      <c r="Q132" s="15" t="n">
        <v>0.15</v>
      </c>
      <c r="R132" s="14" t="n">
        <v>3739.26</v>
      </c>
      <c r="S132" s="12" t="n">
        <v>46228</v>
      </c>
      <c r="T132" s="12" t="n">
        <v>46234</v>
      </c>
      <c r="U132" t="inlineStr">
        <is>
          <t>Resp 12</t>
        </is>
      </c>
      <c r="V132" t="inlineStr">
        <is>
          <t>archivo_06.csv</t>
        </is>
      </c>
      <c r="W132" s="14">
        <f>O132*P132</f>
        <v/>
      </c>
      <c r="X132" s="14">
        <f>W132*Q132</f>
        <v/>
      </c>
      <c r="Y132" s="14">
        <f>W132-X132</f>
        <v/>
      </c>
      <c r="Z132" s="14">
        <f>O132*R132</f>
        <v/>
      </c>
      <c r="AA132" s="14">
        <f>Y132-Z132</f>
        <v/>
      </c>
      <c r="AB132" s="15">
        <f>IF(Y132=0,0,AA132/Y132)</f>
        <v/>
      </c>
      <c r="AC132">
        <f>MAX(0,T132-S132)</f>
        <v/>
      </c>
      <c r="AD132">
        <f>UPPER(TRIM(J132))&amp;"|"&amp;UPPER(TRIM(B132))&amp;"|"&amp;TEXT(C132,"yyyymmdd")&amp;"|"&amp;UPPER(TRIM(G132))</f>
        <v/>
      </c>
      <c r="AE132">
        <f>COUNTIF($AD$2:$AD$241,AD132)</f>
        <v/>
      </c>
    </row>
    <row r="133">
      <c r="A133" t="n">
        <v>132</v>
      </c>
      <c r="B133" t="inlineStr">
        <is>
          <t>OP-000132</t>
        </is>
      </c>
      <c r="C133" s="12" t="n">
        <v>46227</v>
      </c>
      <c r="D133" s="13" t="n">
        <v>0.2916666666666667</v>
      </c>
      <c r="E133" t="inlineStr">
        <is>
          <t>C-0028</t>
        </is>
      </c>
      <c r="F133" t="inlineStr">
        <is>
          <t>Cliente 28</t>
        </is>
      </c>
      <c r="G133" t="inlineStr">
        <is>
          <t>P-200</t>
        </is>
      </c>
      <c r="H133" t="inlineStr">
        <is>
          <t>Teclado</t>
        </is>
      </c>
      <c r="I133" t="inlineStr">
        <is>
          <t>Tecnologia</t>
        </is>
      </c>
      <c r="J133" t="inlineStr">
        <is>
          <t>Pacifico</t>
        </is>
      </c>
      <c r="K133" t="inlineStr">
        <is>
          <t>SUC-05</t>
        </is>
      </c>
      <c r="L133" t="inlineStr">
        <is>
          <t>Digital</t>
        </is>
      </c>
      <c r="M133" t="inlineStr">
        <is>
          <t>Aprobado</t>
        </is>
      </c>
      <c r="N133" t="inlineStr">
        <is>
          <t>Critica</t>
        </is>
      </c>
      <c r="O133" t="n">
        <v>21</v>
      </c>
      <c r="P133" s="14" t="n">
        <v>6584</v>
      </c>
      <c r="Q133" s="15" t="n">
        <v>0</v>
      </c>
      <c r="R133" s="14" t="n">
        <v>3884.56</v>
      </c>
      <c r="S133" s="12" t="n">
        <v>46236</v>
      </c>
      <c r="T133" s="12" t="n">
        <v>46242</v>
      </c>
      <c r="U133" t="inlineStr">
        <is>
          <t>Resp 1</t>
        </is>
      </c>
      <c r="V133" t="inlineStr">
        <is>
          <t>archivo_01.csv</t>
        </is>
      </c>
      <c r="W133" s="14">
        <f>O133*P133</f>
        <v/>
      </c>
      <c r="X133" s="14">
        <f>W133*Q133</f>
        <v/>
      </c>
      <c r="Y133" s="14">
        <f>W133-X133</f>
        <v/>
      </c>
      <c r="Z133" s="14">
        <f>O133*R133</f>
        <v/>
      </c>
      <c r="AA133" s="14">
        <f>Y133-Z133</f>
        <v/>
      </c>
      <c r="AB133" s="15">
        <f>IF(Y133=0,0,AA133/Y133)</f>
        <v/>
      </c>
      <c r="AC133">
        <f>MAX(0,T133-S133)</f>
        <v/>
      </c>
      <c r="AD133">
        <f>UPPER(TRIM(J133))&amp;"|"&amp;UPPER(TRIM(B133))&amp;"|"&amp;TEXT(C133,"yyyymmdd")&amp;"|"&amp;UPPER(TRIM(G133))</f>
        <v/>
      </c>
      <c r="AE133">
        <f>COUNTIF($AD$2:$AD$241,AD133)</f>
        <v/>
      </c>
    </row>
    <row r="134">
      <c r="A134" t="n">
        <v>133</v>
      </c>
      <c r="B134" t="inlineStr">
        <is>
          <t>OP-000133</t>
        </is>
      </c>
      <c r="C134" s="12" t="n">
        <v>46234</v>
      </c>
      <c r="D134" s="13" t="n">
        <v>0.3368055555555556</v>
      </c>
      <c r="E134" t="inlineStr">
        <is>
          <t>C-0029</t>
        </is>
      </c>
      <c r="F134" t="inlineStr">
        <is>
          <t>Cliente 29</t>
        </is>
      </c>
      <c r="G134" t="inlineStr">
        <is>
          <t>P-300</t>
        </is>
      </c>
      <c r="H134" t="inlineStr">
        <is>
          <t>Mouse</t>
        </is>
      </c>
      <c r="I134" t="inlineStr">
        <is>
          <t>Tecnologia</t>
        </is>
      </c>
      <c r="J134" t="inlineStr">
        <is>
          <t>Norte</t>
        </is>
      </c>
      <c r="K134" t="inlineStr">
        <is>
          <t>SUC-06</t>
        </is>
      </c>
      <c r="L134" t="inlineStr">
        <is>
          <t>Tienda</t>
        </is>
      </c>
      <c r="M134" t="inlineStr">
        <is>
          <t>Pendiente</t>
        </is>
      </c>
      <c r="N134" t="inlineStr">
        <is>
          <t>Alta</t>
        </is>
      </c>
      <c r="O134" t="n">
        <v>24</v>
      </c>
      <c r="P134" s="14" t="n">
        <v>6721</v>
      </c>
      <c r="Q134" s="15" t="n">
        <v>0.05</v>
      </c>
      <c r="R134" s="14" t="n">
        <v>4032.6</v>
      </c>
      <c r="S134" s="12" t="n">
        <v>46244</v>
      </c>
      <c r="T134" s="12" t="n">
        <v>46250</v>
      </c>
      <c r="U134" t="inlineStr">
        <is>
          <t>Resp 2</t>
        </is>
      </c>
      <c r="V134" t="inlineStr">
        <is>
          <t>archivo_02.csv</t>
        </is>
      </c>
      <c r="W134" s="14">
        <f>O134*P134</f>
        <v/>
      </c>
      <c r="X134" s="14">
        <f>W134*Q134</f>
        <v/>
      </c>
      <c r="Y134" s="14">
        <f>W134-X134</f>
        <v/>
      </c>
      <c r="Z134" s="14">
        <f>O134*R134</f>
        <v/>
      </c>
      <c r="AA134" s="14">
        <f>Y134-Z134</f>
        <v/>
      </c>
      <c r="AB134" s="15">
        <f>IF(Y134=0,0,AA134/Y134)</f>
        <v/>
      </c>
      <c r="AC134">
        <f>MAX(0,T134-S134)</f>
        <v/>
      </c>
      <c r="AD134">
        <f>UPPER(TRIM(J134))&amp;"|"&amp;UPPER(TRIM(B134))&amp;"|"&amp;TEXT(C134,"yyyymmdd")&amp;"|"&amp;UPPER(TRIM(G134))</f>
        <v/>
      </c>
      <c r="AE134">
        <f>COUNTIF($AD$2:$AD$241,AD134)</f>
        <v/>
      </c>
    </row>
    <row r="135">
      <c r="A135" t="n">
        <v>134</v>
      </c>
      <c r="B135" t="inlineStr">
        <is>
          <t>OP-000134</t>
        </is>
      </c>
      <c r="C135" s="12" t="n">
        <v>46241</v>
      </c>
      <c r="D135" s="13" t="n">
        <v>0.3819444444444444</v>
      </c>
      <c r="E135" t="inlineStr">
        <is>
          <t>C-0030</t>
        </is>
      </c>
      <c r="F135" t="inlineStr">
        <is>
          <t>Cliente 30</t>
        </is>
      </c>
      <c r="G135" t="inlineStr">
        <is>
          <t>P-400</t>
        </is>
      </c>
      <c r="H135" t="inlineStr">
        <is>
          <t>Laptop</t>
        </is>
      </c>
      <c r="I135" t="inlineStr">
        <is>
          <t>Tecnologia</t>
        </is>
      </c>
      <c r="J135" t="inlineStr">
        <is>
          <t>Centro</t>
        </is>
      </c>
      <c r="K135" t="inlineStr">
        <is>
          <t>SUC-07</t>
        </is>
      </c>
      <c r="L135" t="inlineStr">
        <is>
          <t>Distribuidor</t>
        </is>
      </c>
      <c r="M135" t="inlineStr">
        <is>
          <t>Cancelado</t>
        </is>
      </c>
      <c r="N135" t="inlineStr">
        <is>
          <t>Media</t>
        </is>
      </c>
      <c r="O135" t="n">
        <v>27</v>
      </c>
      <c r="P135" s="14" t="n">
        <v>6858</v>
      </c>
      <c r="Q135" s="15" t="n">
        <v>0.1</v>
      </c>
      <c r="R135" s="14" t="n">
        <v>4183.38</v>
      </c>
      <c r="S135" s="12" t="n">
        <v>46252</v>
      </c>
      <c r="T135" s="12" t="n">
        <v>46258</v>
      </c>
      <c r="U135" t="inlineStr">
        <is>
          <t>Resp 3</t>
        </is>
      </c>
      <c r="V135" t="inlineStr">
        <is>
          <t>archivo_03.csv</t>
        </is>
      </c>
      <c r="W135" s="14">
        <f>O135*P135</f>
        <v/>
      </c>
      <c r="X135" s="14">
        <f>W135*Q135</f>
        <v/>
      </c>
      <c r="Y135" s="14">
        <f>W135-X135</f>
        <v/>
      </c>
      <c r="Z135" s="14">
        <f>O135*R135</f>
        <v/>
      </c>
      <c r="AA135" s="14">
        <f>Y135-Z135</f>
        <v/>
      </c>
      <c r="AB135" s="15">
        <f>IF(Y135=0,0,AA135/Y135)</f>
        <v/>
      </c>
      <c r="AC135">
        <f>MAX(0,T135-S135)</f>
        <v/>
      </c>
      <c r="AD135">
        <f>UPPER(TRIM(J135))&amp;"|"&amp;UPPER(TRIM(B135))&amp;"|"&amp;TEXT(C135,"yyyymmdd")&amp;"|"&amp;UPPER(TRIM(G135))</f>
        <v/>
      </c>
      <c r="AE135">
        <f>COUNTIF($AD$2:$AD$241,AD135)</f>
        <v/>
      </c>
    </row>
    <row r="136">
      <c r="A136" t="n">
        <v>135</v>
      </c>
      <c r="B136" t="inlineStr">
        <is>
          <t>OP-000135</t>
        </is>
      </c>
      <c r="C136" s="12" t="n">
        <v>46248</v>
      </c>
      <c r="D136" s="13" t="n">
        <v>0.4270833333333333</v>
      </c>
      <c r="E136" t="inlineStr">
        <is>
          <t>C-0031</t>
        </is>
      </c>
      <c r="F136" t="inlineStr">
        <is>
          <t>Cliente 31</t>
        </is>
      </c>
      <c r="G136" t="inlineStr">
        <is>
          <t>P-500</t>
        </is>
      </c>
      <c r="H136" t="inlineStr">
        <is>
          <t>Dock</t>
        </is>
      </c>
      <c r="I136" t="inlineStr">
        <is>
          <t>Tecnologia</t>
        </is>
      </c>
      <c r="J136" t="inlineStr">
        <is>
          <t>Sur</t>
        </is>
      </c>
      <c r="K136" t="inlineStr">
        <is>
          <t>SUC-08</t>
        </is>
      </c>
      <c r="L136" t="inlineStr">
        <is>
          <t>Digital</t>
        </is>
      </c>
      <c r="M136" t="inlineStr">
        <is>
          <t>En revision</t>
        </is>
      </c>
      <c r="N136" t="inlineStr">
        <is>
          <t>Baja</t>
        </is>
      </c>
      <c r="O136" t="n">
        <v>30</v>
      </c>
      <c r="P136" s="14" t="n">
        <v>6995</v>
      </c>
      <c r="Q136" s="15" t="n">
        <v>0.15</v>
      </c>
      <c r="R136" s="14" t="n">
        <v>4336.9</v>
      </c>
      <c r="S136" s="12" t="n">
        <v>46260</v>
      </c>
      <c r="T136" s="12" t="n">
        <v>46251</v>
      </c>
      <c r="U136" t="inlineStr">
        <is>
          <t>Resp 4</t>
        </is>
      </c>
      <c r="V136" t="inlineStr">
        <is>
          <t>archivo_04.csv</t>
        </is>
      </c>
      <c r="W136" s="14">
        <f>O136*P136</f>
        <v/>
      </c>
      <c r="X136" s="14">
        <f>W136*Q136</f>
        <v/>
      </c>
      <c r="Y136" s="14">
        <f>W136-X136</f>
        <v/>
      </c>
      <c r="Z136" s="14">
        <f>O136*R136</f>
        <v/>
      </c>
      <c r="AA136" s="14">
        <f>Y136-Z136</f>
        <v/>
      </c>
      <c r="AB136" s="15">
        <f>IF(Y136=0,0,AA136/Y136)</f>
        <v/>
      </c>
      <c r="AC136">
        <f>MAX(0,T136-S136)</f>
        <v/>
      </c>
      <c r="AD136">
        <f>UPPER(TRIM(J136))&amp;"|"&amp;UPPER(TRIM(B136))&amp;"|"&amp;TEXT(C136,"yyyymmdd")&amp;"|"&amp;UPPER(TRIM(G136))</f>
        <v/>
      </c>
      <c r="AE136">
        <f>COUNTIF($AD$2:$AD$241,AD136)</f>
        <v/>
      </c>
    </row>
    <row r="137">
      <c r="A137" t="n">
        <v>136</v>
      </c>
      <c r="B137" t="inlineStr">
        <is>
          <t>OP-000136</t>
        </is>
      </c>
      <c r="C137" s="12" t="n">
        <v>46255</v>
      </c>
      <c r="D137" s="13" t="n">
        <v>0.4722222222222222</v>
      </c>
      <c r="E137" t="inlineStr">
        <is>
          <t>C-0032</t>
        </is>
      </c>
      <c r="F137" t="inlineStr">
        <is>
          <t>Cliente 32</t>
        </is>
      </c>
      <c r="G137" t="inlineStr">
        <is>
          <t>P-100</t>
        </is>
      </c>
      <c r="H137" t="inlineStr">
        <is>
          <t>Monitor 24</t>
        </is>
      </c>
      <c r="I137" t="inlineStr">
        <is>
          <t>Tecnologia</t>
        </is>
      </c>
      <c r="J137" t="inlineStr">
        <is>
          <t>Pacifico</t>
        </is>
      </c>
      <c r="K137" t="inlineStr">
        <is>
          <t>SUC-01</t>
        </is>
      </c>
      <c r="L137" t="inlineStr">
        <is>
          <t>Tienda</t>
        </is>
      </c>
      <c r="M137" t="inlineStr">
        <is>
          <t>Aprobado</t>
        </is>
      </c>
      <c r="N137" t="inlineStr">
        <is>
          <t>Critica</t>
        </is>
      </c>
      <c r="O137" t="n">
        <v>33</v>
      </c>
      <c r="P137" s="14" t="n">
        <v>7132</v>
      </c>
      <c r="Q137" s="15" t="n">
        <v>0</v>
      </c>
      <c r="R137" s="14" t="n">
        <v>3922.6</v>
      </c>
      <c r="S137" s="12" t="n">
        <v>46268</v>
      </c>
      <c r="T137" s="12" t="n">
        <v>46259</v>
      </c>
      <c r="U137" t="inlineStr">
        <is>
          <t>Resp 5</t>
        </is>
      </c>
      <c r="V137" t="inlineStr">
        <is>
          <t>archivo_05.csv</t>
        </is>
      </c>
      <c r="W137" s="14">
        <f>O137*P137</f>
        <v/>
      </c>
      <c r="X137" s="14">
        <f>W137*Q137</f>
        <v/>
      </c>
      <c r="Y137" s="14">
        <f>W137-X137</f>
        <v/>
      </c>
      <c r="Z137" s="14">
        <f>O137*R137</f>
        <v/>
      </c>
      <c r="AA137" s="14">
        <f>Y137-Z137</f>
        <v/>
      </c>
      <c r="AB137" s="15">
        <f>IF(Y137=0,0,AA137/Y137)</f>
        <v/>
      </c>
      <c r="AC137">
        <f>MAX(0,T137-S137)</f>
        <v/>
      </c>
      <c r="AD137">
        <f>UPPER(TRIM(J137))&amp;"|"&amp;UPPER(TRIM(B137))&amp;"|"&amp;TEXT(C137,"yyyymmdd")&amp;"|"&amp;UPPER(TRIM(G137))</f>
        <v/>
      </c>
      <c r="AE137">
        <f>COUNTIF($AD$2:$AD$241,AD137)</f>
        <v/>
      </c>
    </row>
    <row r="138">
      <c r="A138" t="n">
        <v>137</v>
      </c>
      <c r="B138" t="inlineStr">
        <is>
          <t>OP-000137</t>
        </is>
      </c>
      <c r="C138" s="12" t="n">
        <v>46262</v>
      </c>
      <c r="D138" s="13" t="n">
        <v>0.5173611111111112</v>
      </c>
      <c r="E138" t="inlineStr">
        <is>
          <t>C-0033</t>
        </is>
      </c>
      <c r="F138" t="inlineStr">
        <is>
          <t>Cliente 33</t>
        </is>
      </c>
      <c r="G138" t="inlineStr">
        <is>
          <t>P-200</t>
        </is>
      </c>
      <c r="H138" t="inlineStr">
        <is>
          <t>Teclado</t>
        </is>
      </c>
      <c r="I138" t="inlineStr">
        <is>
          <t>Tecnologia</t>
        </is>
      </c>
      <c r="J138" t="inlineStr">
        <is>
          <t>Norte</t>
        </is>
      </c>
      <c r="K138" t="inlineStr">
        <is>
          <t>SUC-02</t>
        </is>
      </c>
      <c r="L138" t="inlineStr">
        <is>
          <t>Distribuidor</t>
        </is>
      </c>
      <c r="M138" t="inlineStr">
        <is>
          <t>Pendiente</t>
        </is>
      </c>
      <c r="N138" t="inlineStr">
        <is>
          <t>Alta</t>
        </is>
      </c>
      <c r="O138" t="n">
        <v>36</v>
      </c>
      <c r="P138" s="14" t="n">
        <v>7269</v>
      </c>
      <c r="Q138" s="15" t="n">
        <v>0.05</v>
      </c>
      <c r="R138" s="14" t="n">
        <v>4070.64</v>
      </c>
      <c r="S138" s="12" t="n">
        <v>46276</v>
      </c>
      <c r="T138" s="12" t="n">
        <v>46267</v>
      </c>
      <c r="U138" t="inlineStr">
        <is>
          <t>Resp 6</t>
        </is>
      </c>
      <c r="V138" t="inlineStr">
        <is>
          <t>archivo_06.csv</t>
        </is>
      </c>
      <c r="W138" s="14">
        <f>O138*P138</f>
        <v/>
      </c>
      <c r="X138" s="14">
        <f>W138*Q138</f>
        <v/>
      </c>
      <c r="Y138" s="14">
        <f>W138-X138</f>
        <v/>
      </c>
      <c r="Z138" s="14">
        <f>O138*R138</f>
        <v/>
      </c>
      <c r="AA138" s="14">
        <f>Y138-Z138</f>
        <v/>
      </c>
      <c r="AB138" s="15">
        <f>IF(Y138=0,0,AA138/Y138)</f>
        <v/>
      </c>
      <c r="AC138">
        <f>MAX(0,T138-S138)</f>
        <v/>
      </c>
      <c r="AD138">
        <f>UPPER(TRIM(J138))&amp;"|"&amp;UPPER(TRIM(B138))&amp;"|"&amp;TEXT(C138,"yyyymmdd")&amp;"|"&amp;UPPER(TRIM(G138))</f>
        <v/>
      </c>
      <c r="AE138">
        <f>COUNTIF($AD$2:$AD$241,AD138)</f>
        <v/>
      </c>
    </row>
    <row r="139">
      <c r="A139" t="n">
        <v>138</v>
      </c>
      <c r="B139" t="inlineStr">
        <is>
          <t>OP-000138</t>
        </is>
      </c>
      <c r="C139" s="12" t="n">
        <v>46029</v>
      </c>
      <c r="D139" s="13" t="n">
        <v>0.5625</v>
      </c>
      <c r="E139" t="inlineStr">
        <is>
          <t>C-0034</t>
        </is>
      </c>
      <c r="F139" t="inlineStr">
        <is>
          <t>Cliente 34</t>
        </is>
      </c>
      <c r="G139" t="inlineStr">
        <is>
          <t>P-300</t>
        </is>
      </c>
      <c r="H139" t="inlineStr">
        <is>
          <t>Mouse</t>
        </is>
      </c>
      <c r="I139" t="inlineStr">
        <is>
          <t>Tecnologia</t>
        </is>
      </c>
      <c r="J139" t="inlineStr">
        <is>
          <t>Centro</t>
        </is>
      </c>
      <c r="K139" t="inlineStr">
        <is>
          <t>SUC-03</t>
        </is>
      </c>
      <c r="L139" t="inlineStr">
        <is>
          <t>Digital</t>
        </is>
      </c>
      <c r="M139" t="inlineStr">
        <is>
          <t>Cancelado</t>
        </is>
      </c>
      <c r="N139" t="inlineStr">
        <is>
          <t>Media</t>
        </is>
      </c>
      <c r="O139" t="n">
        <v>39</v>
      </c>
      <c r="P139" s="14" t="n">
        <v>7406</v>
      </c>
      <c r="Q139" s="15" t="n">
        <v>0.1</v>
      </c>
      <c r="R139" s="14" t="n">
        <v>4221.42</v>
      </c>
      <c r="S139" s="12" t="n">
        <v>46044</v>
      </c>
      <c r="T139" s="12" t="n">
        <v>46035</v>
      </c>
      <c r="U139" t="inlineStr">
        <is>
          <t>Resp 7</t>
        </is>
      </c>
      <c r="V139" t="inlineStr">
        <is>
          <t>archivo_01.csv</t>
        </is>
      </c>
      <c r="W139" s="14">
        <f>O139*P139</f>
        <v/>
      </c>
      <c r="X139" s="14">
        <f>W139*Q139</f>
        <v/>
      </c>
      <c r="Y139" s="14">
        <f>W139-X139</f>
        <v/>
      </c>
      <c r="Z139" s="14">
        <f>O139*R139</f>
        <v/>
      </c>
      <c r="AA139" s="14">
        <f>Y139-Z139</f>
        <v/>
      </c>
      <c r="AB139" s="15">
        <f>IF(Y139=0,0,AA139/Y139)</f>
        <v/>
      </c>
      <c r="AC139">
        <f>MAX(0,T139-S139)</f>
        <v/>
      </c>
      <c r="AD139">
        <f>UPPER(TRIM(J139))&amp;"|"&amp;UPPER(TRIM(B139))&amp;"|"&amp;TEXT(C139,"yyyymmdd")&amp;"|"&amp;UPPER(TRIM(G139))</f>
        <v/>
      </c>
      <c r="AE139">
        <f>COUNTIF($AD$2:$AD$241,AD139)</f>
        <v/>
      </c>
    </row>
    <row r="140">
      <c r="A140" t="n">
        <v>139</v>
      </c>
      <c r="B140" t="inlineStr">
        <is>
          <t>OP-000139</t>
        </is>
      </c>
      <c r="C140" s="12" t="n">
        <v>46036</v>
      </c>
      <c r="D140" s="13" t="n">
        <v>0.6076388888888888</v>
      </c>
      <c r="E140" t="inlineStr">
        <is>
          <t>C-0035</t>
        </is>
      </c>
      <c r="F140" t="inlineStr">
        <is>
          <t>Cliente 35</t>
        </is>
      </c>
      <c r="G140" t="inlineStr">
        <is>
          <t>P-400</t>
        </is>
      </c>
      <c r="H140" t="inlineStr">
        <is>
          <t>Laptop</t>
        </is>
      </c>
      <c r="I140" t="inlineStr">
        <is>
          <t>Tecnologia</t>
        </is>
      </c>
      <c r="J140" t="inlineStr">
        <is>
          <t>Sur</t>
        </is>
      </c>
      <c r="K140" t="inlineStr">
        <is>
          <t>SUC-04</t>
        </is>
      </c>
      <c r="L140" t="inlineStr">
        <is>
          <t>Tienda</t>
        </is>
      </c>
      <c r="M140" t="inlineStr">
        <is>
          <t>En revision</t>
        </is>
      </c>
      <c r="N140" t="inlineStr">
        <is>
          <t>Baja</t>
        </is>
      </c>
      <c r="O140" t="n">
        <v>42</v>
      </c>
      <c r="P140" s="14" t="n">
        <v>7543</v>
      </c>
      <c r="Q140" s="15" t="n">
        <v>0.15</v>
      </c>
      <c r="R140" s="14" t="n">
        <v>4374.94</v>
      </c>
      <c r="S140" s="12" t="n">
        <v>46052</v>
      </c>
      <c r="T140" s="12" t="n">
        <v>46043</v>
      </c>
      <c r="U140" t="inlineStr">
        <is>
          <t>Resp 8</t>
        </is>
      </c>
      <c r="V140" t="inlineStr">
        <is>
          <t>archivo_02.csv</t>
        </is>
      </c>
      <c r="W140" s="14">
        <f>O140*P140</f>
        <v/>
      </c>
      <c r="X140" s="14">
        <f>W140*Q140</f>
        <v/>
      </c>
      <c r="Y140" s="14">
        <f>W140-X140</f>
        <v/>
      </c>
      <c r="Z140" s="14">
        <f>O140*R140</f>
        <v/>
      </c>
      <c r="AA140" s="14">
        <f>Y140-Z140</f>
        <v/>
      </c>
      <c r="AB140" s="15">
        <f>IF(Y140=0,0,AA140/Y140)</f>
        <v/>
      </c>
      <c r="AC140">
        <f>MAX(0,T140-S140)</f>
        <v/>
      </c>
      <c r="AD140">
        <f>UPPER(TRIM(J140))&amp;"|"&amp;UPPER(TRIM(B140))&amp;"|"&amp;TEXT(C140,"yyyymmdd")&amp;"|"&amp;UPPER(TRIM(G140))</f>
        <v/>
      </c>
      <c r="AE140">
        <f>COUNTIF($AD$2:$AD$241,AD140)</f>
        <v/>
      </c>
    </row>
    <row r="141">
      <c r="A141" t="n">
        <v>140</v>
      </c>
      <c r="B141" t="inlineStr">
        <is>
          <t>OP-000140</t>
        </is>
      </c>
      <c r="C141" s="12" t="n">
        <v>46043</v>
      </c>
      <c r="D141" s="13" t="n">
        <v>0.6527777777777778</v>
      </c>
      <c r="E141" t="inlineStr">
        <is>
          <t>C-0001</t>
        </is>
      </c>
      <c r="F141" t="inlineStr">
        <is>
          <t>Cliente 1</t>
        </is>
      </c>
      <c r="G141" t="inlineStr">
        <is>
          <t>P-500</t>
        </is>
      </c>
      <c r="H141" t="inlineStr">
        <is>
          <t>Dock</t>
        </is>
      </c>
      <c r="I141" t="inlineStr">
        <is>
          <t>Tecnologia</t>
        </is>
      </c>
      <c r="J141" t="inlineStr">
        <is>
          <t>Pacifico</t>
        </is>
      </c>
      <c r="K141" t="inlineStr">
        <is>
          <t>SUC-05</t>
        </is>
      </c>
      <c r="L141" t="inlineStr">
        <is>
          <t>Distribuidor</t>
        </is>
      </c>
      <c r="M141" t="inlineStr">
        <is>
          <t>Aprobado</t>
        </is>
      </c>
      <c r="N141" t="inlineStr">
        <is>
          <t>Critica</t>
        </is>
      </c>
      <c r="O141" t="n">
        <v>45</v>
      </c>
      <c r="P141" s="14" t="n">
        <v>7680</v>
      </c>
      <c r="Q141" s="15" t="n">
        <v>0</v>
      </c>
      <c r="R141" s="14" t="n">
        <v>4531.2</v>
      </c>
      <c r="S141" s="12" t="n">
        <v>46050</v>
      </c>
      <c r="T141" s="12" t="n">
        <v>46051</v>
      </c>
      <c r="U141" t="inlineStr">
        <is>
          <t>Resp 9</t>
        </is>
      </c>
      <c r="V141" t="inlineStr">
        <is>
          <t>archivo_03.csv</t>
        </is>
      </c>
      <c r="W141" s="14">
        <f>O141*P141</f>
        <v/>
      </c>
      <c r="X141" s="14">
        <f>W141*Q141</f>
        <v/>
      </c>
      <c r="Y141" s="14">
        <f>W141-X141</f>
        <v/>
      </c>
      <c r="Z141" s="14">
        <f>O141*R141</f>
        <v/>
      </c>
      <c r="AA141" s="14">
        <f>Y141-Z141</f>
        <v/>
      </c>
      <c r="AB141" s="15">
        <f>IF(Y141=0,0,AA141/Y141)</f>
        <v/>
      </c>
      <c r="AC141">
        <f>MAX(0,T141-S141)</f>
        <v/>
      </c>
      <c r="AD141">
        <f>UPPER(TRIM(J141))&amp;"|"&amp;UPPER(TRIM(B141))&amp;"|"&amp;TEXT(C141,"yyyymmdd")&amp;"|"&amp;UPPER(TRIM(G141))</f>
        <v/>
      </c>
      <c r="AE141">
        <f>COUNTIF($AD$2:$AD$241,AD141)</f>
        <v/>
      </c>
    </row>
    <row r="142">
      <c r="A142" t="n">
        <v>141</v>
      </c>
      <c r="B142" t="inlineStr">
        <is>
          <t>OP-000141</t>
        </is>
      </c>
      <c r="C142" s="12" t="n">
        <v>46050</v>
      </c>
      <c r="D142" s="13" t="n">
        <v>0.6979166666666666</v>
      </c>
      <c r="E142" t="inlineStr">
        <is>
          <t>C-0002</t>
        </is>
      </c>
      <c r="F142" t="inlineStr">
        <is>
          <t>Cliente 2</t>
        </is>
      </c>
      <c r="G142" t="inlineStr">
        <is>
          <t>P-100</t>
        </is>
      </c>
      <c r="H142" t="inlineStr">
        <is>
          <t>Monitor 24</t>
        </is>
      </c>
      <c r="I142" t="inlineStr">
        <is>
          <t>Tecnologia</t>
        </is>
      </c>
      <c r="J142" t="inlineStr">
        <is>
          <t>Norte</t>
        </is>
      </c>
      <c r="K142" t="inlineStr">
        <is>
          <t>SUC-06</t>
        </is>
      </c>
      <c r="L142" t="inlineStr">
        <is>
          <t>Digital</t>
        </is>
      </c>
      <c r="M142" t="inlineStr">
        <is>
          <t>Pendiente</t>
        </is>
      </c>
      <c r="N142" t="inlineStr">
        <is>
          <t>Alta</t>
        </is>
      </c>
      <c r="O142" t="n">
        <v>1</v>
      </c>
      <c r="P142" s="14" t="n">
        <v>7817</v>
      </c>
      <c r="Q142" s="15" t="n">
        <v>0.05</v>
      </c>
      <c r="R142" s="14" t="n">
        <v>4690.2</v>
      </c>
      <c r="S142" s="12" t="n">
        <v>46058</v>
      </c>
      <c r="T142" s="12" t="n">
        <v>46059</v>
      </c>
      <c r="U142" t="inlineStr">
        <is>
          <t>Resp 10</t>
        </is>
      </c>
      <c r="V142" t="inlineStr">
        <is>
          <t>archivo_04.csv</t>
        </is>
      </c>
      <c r="W142" s="14">
        <f>O142*P142</f>
        <v/>
      </c>
      <c r="X142" s="14">
        <f>W142*Q142</f>
        <v/>
      </c>
      <c r="Y142" s="14">
        <f>W142-X142</f>
        <v/>
      </c>
      <c r="Z142" s="14">
        <f>O142*R142</f>
        <v/>
      </c>
      <c r="AA142" s="14">
        <f>Y142-Z142</f>
        <v/>
      </c>
      <c r="AB142" s="15">
        <f>IF(Y142=0,0,AA142/Y142)</f>
        <v/>
      </c>
      <c r="AC142">
        <f>MAX(0,T142-S142)</f>
        <v/>
      </c>
      <c r="AD142">
        <f>UPPER(TRIM(J142))&amp;"|"&amp;UPPER(TRIM(B142))&amp;"|"&amp;TEXT(C142,"yyyymmdd")&amp;"|"&amp;UPPER(TRIM(G142))</f>
        <v/>
      </c>
      <c r="AE142">
        <f>COUNTIF($AD$2:$AD$241,AD142)</f>
        <v/>
      </c>
    </row>
    <row r="143">
      <c r="A143" t="n">
        <v>142</v>
      </c>
      <c r="B143" t="inlineStr">
        <is>
          <t>OP-000142</t>
        </is>
      </c>
      <c r="C143" s="12" t="n">
        <v>46057</v>
      </c>
      <c r="D143" s="13" t="n">
        <v>0.7430555555555556</v>
      </c>
      <c r="E143" t="inlineStr">
        <is>
          <t>C-0003</t>
        </is>
      </c>
      <c r="F143" t="inlineStr">
        <is>
          <t>Cliente 3</t>
        </is>
      </c>
      <c r="G143" t="inlineStr">
        <is>
          <t>P-200</t>
        </is>
      </c>
      <c r="H143" t="inlineStr">
        <is>
          <t>Teclado</t>
        </is>
      </c>
      <c r="I143" t="inlineStr">
        <is>
          <t>Tecnologia</t>
        </is>
      </c>
      <c r="J143" t="inlineStr">
        <is>
          <t>Centro</t>
        </is>
      </c>
      <c r="K143" t="inlineStr">
        <is>
          <t>SUC-07</t>
        </is>
      </c>
      <c r="L143" t="inlineStr">
        <is>
          <t>Tienda</t>
        </is>
      </c>
      <c r="M143" t="inlineStr">
        <is>
          <t>Cancelado</t>
        </is>
      </c>
      <c r="N143" t="inlineStr">
        <is>
          <t>Media</t>
        </is>
      </c>
      <c r="O143" t="n">
        <v>4</v>
      </c>
      <c r="P143" s="14" t="n">
        <v>7954</v>
      </c>
      <c r="Q143" s="15" t="n">
        <v>0.1</v>
      </c>
      <c r="R143" s="14" t="n">
        <v>4851.94</v>
      </c>
      <c r="S143" s="12" t="n">
        <v>46066</v>
      </c>
      <c r="T143" s="12" t="n">
        <v>46067</v>
      </c>
      <c r="U143" t="inlineStr">
        <is>
          <t>Resp 11</t>
        </is>
      </c>
      <c r="V143" t="inlineStr">
        <is>
          <t>archivo_05.csv</t>
        </is>
      </c>
      <c r="W143" s="14">
        <f>O143*P143</f>
        <v/>
      </c>
      <c r="X143" s="14">
        <f>W143*Q143</f>
        <v/>
      </c>
      <c r="Y143" s="14">
        <f>W143-X143</f>
        <v/>
      </c>
      <c r="Z143" s="14">
        <f>O143*R143</f>
        <v/>
      </c>
      <c r="AA143" s="14">
        <f>Y143-Z143</f>
        <v/>
      </c>
      <c r="AB143" s="15">
        <f>IF(Y143=0,0,AA143/Y143)</f>
        <v/>
      </c>
      <c r="AC143">
        <f>MAX(0,T143-S143)</f>
        <v/>
      </c>
      <c r="AD143">
        <f>UPPER(TRIM(J143))&amp;"|"&amp;UPPER(TRIM(B143))&amp;"|"&amp;TEXT(C143,"yyyymmdd")&amp;"|"&amp;UPPER(TRIM(G143))</f>
        <v/>
      </c>
      <c r="AE143">
        <f>COUNTIF($AD$2:$AD$241,AD143)</f>
        <v/>
      </c>
    </row>
    <row r="144">
      <c r="A144" t="n">
        <v>143</v>
      </c>
      <c r="B144" t="inlineStr">
        <is>
          <t>OP-000143</t>
        </is>
      </c>
      <c r="C144" s="12" t="n">
        <v>46064</v>
      </c>
      <c r="D144" s="13" t="n">
        <v>0.7881944444444444</v>
      </c>
      <c r="E144" t="inlineStr">
        <is>
          <t>C-0004</t>
        </is>
      </c>
      <c r="F144" t="inlineStr">
        <is>
          <t>Cliente 4</t>
        </is>
      </c>
      <c r="G144" t="inlineStr">
        <is>
          <t>P-300</t>
        </is>
      </c>
      <c r="H144" t="inlineStr">
        <is>
          <t>Mouse</t>
        </is>
      </c>
      <c r="I144" t="inlineStr">
        <is>
          <t>Tecnologia</t>
        </is>
      </c>
      <c r="J144" t="inlineStr">
        <is>
          <t>Sur</t>
        </is>
      </c>
      <c r="K144" t="inlineStr">
        <is>
          <t>SUC-08</t>
        </is>
      </c>
      <c r="L144" t="inlineStr">
        <is>
          <t>Distribuidor</t>
        </is>
      </c>
      <c r="M144" t="inlineStr">
        <is>
          <t>En revision</t>
        </is>
      </c>
      <c r="N144" t="inlineStr">
        <is>
          <t>Baja</t>
        </is>
      </c>
      <c r="O144" t="n">
        <v>7</v>
      </c>
      <c r="P144" s="14" t="n">
        <v>8091</v>
      </c>
      <c r="Q144" s="15" t="n">
        <v>0.15</v>
      </c>
      <c r="R144" s="14" t="n">
        <v>5016.42</v>
      </c>
      <c r="S144" s="12" t="n">
        <v>46074</v>
      </c>
      <c r="T144" s="12" t="n">
        <v>46075</v>
      </c>
      <c r="U144" t="inlineStr">
        <is>
          <t>Resp 12</t>
        </is>
      </c>
      <c r="V144" t="inlineStr">
        <is>
          <t>archivo_06.csv</t>
        </is>
      </c>
      <c r="W144" s="14">
        <f>O144*P144</f>
        <v/>
      </c>
      <c r="X144" s="14">
        <f>W144*Q144</f>
        <v/>
      </c>
      <c r="Y144" s="14">
        <f>W144-X144</f>
        <v/>
      </c>
      <c r="Z144" s="14">
        <f>O144*R144</f>
        <v/>
      </c>
      <c r="AA144" s="14">
        <f>Y144-Z144</f>
        <v/>
      </c>
      <c r="AB144" s="15">
        <f>IF(Y144=0,0,AA144/Y144)</f>
        <v/>
      </c>
      <c r="AC144">
        <f>MAX(0,T144-S144)</f>
        <v/>
      </c>
      <c r="AD144">
        <f>UPPER(TRIM(J144))&amp;"|"&amp;UPPER(TRIM(B144))&amp;"|"&amp;TEXT(C144,"yyyymmdd")&amp;"|"&amp;UPPER(TRIM(G144))</f>
        <v/>
      </c>
      <c r="AE144">
        <f>COUNTIF($AD$2:$AD$241,AD144)</f>
        <v/>
      </c>
    </row>
    <row r="145">
      <c r="A145" t="n">
        <v>144</v>
      </c>
      <c r="B145" t="inlineStr">
        <is>
          <t>OP-000144</t>
        </is>
      </c>
      <c r="C145" s="12" t="n">
        <v>46071</v>
      </c>
      <c r="D145" s="13" t="n">
        <v>0.2916666666666667</v>
      </c>
      <c r="E145" t="inlineStr">
        <is>
          <t>C-0005</t>
        </is>
      </c>
      <c r="F145" t="inlineStr">
        <is>
          <t>Cliente 5</t>
        </is>
      </c>
      <c r="G145" t="inlineStr">
        <is>
          <t>P-400</t>
        </is>
      </c>
      <c r="H145" t="inlineStr">
        <is>
          <t>Laptop</t>
        </is>
      </c>
      <c r="I145" t="inlineStr">
        <is>
          <t>Tecnologia</t>
        </is>
      </c>
      <c r="J145" t="inlineStr">
        <is>
          <t>Pacifico</t>
        </is>
      </c>
      <c r="K145" t="inlineStr">
        <is>
          <t>SUC-01</t>
        </is>
      </c>
      <c r="L145" t="inlineStr">
        <is>
          <t>Digital</t>
        </is>
      </c>
      <c r="M145" t="inlineStr">
        <is>
          <t>Aprobado</t>
        </is>
      </c>
      <c r="N145" t="inlineStr">
        <is>
          <t>Critica</t>
        </is>
      </c>
      <c r="O145" t="n">
        <v>10</v>
      </c>
      <c r="P145" s="14" t="n">
        <v>8228</v>
      </c>
      <c r="Q145" s="15" t="n">
        <v>0</v>
      </c>
      <c r="R145" s="14" t="n">
        <v>4525.4</v>
      </c>
      <c r="S145" s="12" t="n">
        <v>46082</v>
      </c>
      <c r="T145" s="12" t="n">
        <v>46083</v>
      </c>
      <c r="U145" t="inlineStr">
        <is>
          <t>Resp 1</t>
        </is>
      </c>
      <c r="V145" t="inlineStr">
        <is>
          <t>archivo_01.csv</t>
        </is>
      </c>
      <c r="W145" s="14">
        <f>O145*P145</f>
        <v/>
      </c>
      <c r="X145" s="14">
        <f>W145*Q145</f>
        <v/>
      </c>
      <c r="Y145" s="14">
        <f>W145-X145</f>
        <v/>
      </c>
      <c r="Z145" s="14">
        <f>O145*R145</f>
        <v/>
      </c>
      <c r="AA145" s="14">
        <f>Y145-Z145</f>
        <v/>
      </c>
      <c r="AB145" s="15">
        <f>IF(Y145=0,0,AA145/Y145)</f>
        <v/>
      </c>
      <c r="AC145">
        <f>MAX(0,T145-S145)</f>
        <v/>
      </c>
      <c r="AD145">
        <f>UPPER(TRIM(J145))&amp;"|"&amp;UPPER(TRIM(B145))&amp;"|"&amp;TEXT(C145,"yyyymmdd")&amp;"|"&amp;UPPER(TRIM(G145))</f>
        <v/>
      </c>
      <c r="AE145">
        <f>COUNTIF($AD$2:$AD$241,AD145)</f>
        <v/>
      </c>
    </row>
    <row r="146">
      <c r="A146" t="n">
        <v>145</v>
      </c>
      <c r="B146" t="inlineStr">
        <is>
          <t>OP-000145</t>
        </is>
      </c>
      <c r="C146" s="12" t="n">
        <v>46078</v>
      </c>
      <c r="D146" s="13" t="n">
        <v>0.3368055555555556</v>
      </c>
      <c r="E146" t="inlineStr">
        <is>
          <t>C-0006</t>
        </is>
      </c>
      <c r="F146" t="inlineStr">
        <is>
          <t>Cliente 6</t>
        </is>
      </c>
      <c r="G146" t="inlineStr">
        <is>
          <t>P-500</t>
        </is>
      </c>
      <c r="H146" t="inlineStr">
        <is>
          <t>Dock</t>
        </is>
      </c>
      <c r="I146" t="inlineStr">
        <is>
          <t>Tecnologia</t>
        </is>
      </c>
      <c r="J146" t="inlineStr">
        <is>
          <t>Norte</t>
        </is>
      </c>
      <c r="K146" t="inlineStr">
        <is>
          <t>SUC-02</t>
        </is>
      </c>
      <c r="L146" t="inlineStr">
        <is>
          <t>Tienda</t>
        </is>
      </c>
      <c r="M146" t="inlineStr">
        <is>
          <t>Pendiente</t>
        </is>
      </c>
      <c r="N146" t="inlineStr">
        <is>
          <t>Alta</t>
        </is>
      </c>
      <c r="O146" t="n">
        <v>13</v>
      </c>
      <c r="P146" s="14" t="n">
        <v>8365</v>
      </c>
      <c r="Q146" s="15" t="n">
        <v>0.05</v>
      </c>
      <c r="R146" s="14" t="n">
        <v>4684.4</v>
      </c>
      <c r="S146" s="12" t="n">
        <v>46090</v>
      </c>
      <c r="T146" s="12" t="n">
        <v>46091</v>
      </c>
      <c r="U146" t="inlineStr">
        <is>
          <t>Resp 2</t>
        </is>
      </c>
      <c r="V146" t="inlineStr">
        <is>
          <t>archivo_02.csv</t>
        </is>
      </c>
      <c r="W146" s="14">
        <f>O146*P146</f>
        <v/>
      </c>
      <c r="X146" s="14">
        <f>W146*Q146</f>
        <v/>
      </c>
      <c r="Y146" s="14">
        <f>W146-X146</f>
        <v/>
      </c>
      <c r="Z146" s="14">
        <f>O146*R146</f>
        <v/>
      </c>
      <c r="AA146" s="14">
        <f>Y146-Z146</f>
        <v/>
      </c>
      <c r="AB146" s="15">
        <f>IF(Y146=0,0,AA146/Y146)</f>
        <v/>
      </c>
      <c r="AC146">
        <f>MAX(0,T146-S146)</f>
        <v/>
      </c>
      <c r="AD146">
        <f>UPPER(TRIM(J146))&amp;"|"&amp;UPPER(TRIM(B146))&amp;"|"&amp;TEXT(C146,"yyyymmdd")&amp;"|"&amp;UPPER(TRIM(G146))</f>
        <v/>
      </c>
      <c r="AE146">
        <f>COUNTIF($AD$2:$AD$241,AD146)</f>
        <v/>
      </c>
    </row>
    <row r="147">
      <c r="A147" t="n">
        <v>146</v>
      </c>
      <c r="B147" t="inlineStr">
        <is>
          <t>OP-000146</t>
        </is>
      </c>
      <c r="C147" s="12" t="n">
        <v>46085</v>
      </c>
      <c r="D147" s="13" t="n">
        <v>0.3819444444444444</v>
      </c>
      <c r="E147" t="inlineStr">
        <is>
          <t>C-0007</t>
        </is>
      </c>
      <c r="F147" t="inlineStr">
        <is>
          <t>Cliente 7</t>
        </is>
      </c>
      <c r="G147" t="inlineStr">
        <is>
          <t>P-100</t>
        </is>
      </c>
      <c r="H147" t="inlineStr">
        <is>
          <t>Monitor 24</t>
        </is>
      </c>
      <c r="I147" t="inlineStr">
        <is>
          <t>Tecnologia</t>
        </is>
      </c>
      <c r="J147" t="inlineStr">
        <is>
          <t>Centro</t>
        </is>
      </c>
      <c r="K147" t="inlineStr">
        <is>
          <t>SUC-03</t>
        </is>
      </c>
      <c r="L147" t="inlineStr">
        <is>
          <t>Distribuidor</t>
        </is>
      </c>
      <c r="M147" t="inlineStr">
        <is>
          <t>Cancelado</t>
        </is>
      </c>
      <c r="N147" t="inlineStr">
        <is>
          <t>Media</t>
        </is>
      </c>
      <c r="O147" t="n">
        <v>16</v>
      </c>
      <c r="P147" s="14" t="n">
        <v>8502</v>
      </c>
      <c r="Q147" s="15" t="n">
        <v>0.1</v>
      </c>
      <c r="R147" s="14" t="n">
        <v>4846.14</v>
      </c>
      <c r="S147" s="12" t="n">
        <v>46098</v>
      </c>
      <c r="T147" s="12" t="n">
        <v>46099</v>
      </c>
      <c r="U147" t="inlineStr">
        <is>
          <t>Resp 3</t>
        </is>
      </c>
      <c r="V147" t="inlineStr">
        <is>
          <t>archivo_03.csv</t>
        </is>
      </c>
      <c r="W147" s="14">
        <f>O147*P147</f>
        <v/>
      </c>
      <c r="X147" s="14">
        <f>W147*Q147</f>
        <v/>
      </c>
      <c r="Y147" s="14">
        <f>W147-X147</f>
        <v/>
      </c>
      <c r="Z147" s="14">
        <f>O147*R147</f>
        <v/>
      </c>
      <c r="AA147" s="14">
        <f>Y147-Z147</f>
        <v/>
      </c>
      <c r="AB147" s="15">
        <f>IF(Y147=0,0,AA147/Y147)</f>
        <v/>
      </c>
      <c r="AC147">
        <f>MAX(0,T147-S147)</f>
        <v/>
      </c>
      <c r="AD147">
        <f>UPPER(TRIM(J147))&amp;"|"&amp;UPPER(TRIM(B147))&amp;"|"&amp;TEXT(C147,"yyyymmdd")&amp;"|"&amp;UPPER(TRIM(G147))</f>
        <v/>
      </c>
      <c r="AE147">
        <f>COUNTIF($AD$2:$AD$241,AD147)</f>
        <v/>
      </c>
    </row>
    <row r="148">
      <c r="A148" t="n">
        <v>147</v>
      </c>
      <c r="B148" t="inlineStr">
        <is>
          <t>OP-000147</t>
        </is>
      </c>
      <c r="C148" s="12" t="n">
        <v>46092</v>
      </c>
      <c r="D148" s="13" t="n">
        <v>0.4270833333333333</v>
      </c>
      <c r="E148" t="inlineStr">
        <is>
          <t>C-0008</t>
        </is>
      </c>
      <c r="F148" t="inlineStr">
        <is>
          <t>Cliente 8</t>
        </is>
      </c>
      <c r="G148" t="inlineStr">
        <is>
          <t>P-200</t>
        </is>
      </c>
      <c r="H148" t="inlineStr">
        <is>
          <t>Teclado</t>
        </is>
      </c>
      <c r="I148" t="inlineStr">
        <is>
          <t>Tecnologia</t>
        </is>
      </c>
      <c r="J148" t="inlineStr">
        <is>
          <t>Sur</t>
        </is>
      </c>
      <c r="K148" t="inlineStr">
        <is>
          <t>SUC-04</t>
        </is>
      </c>
      <c r="L148" t="inlineStr">
        <is>
          <t>Digital</t>
        </is>
      </c>
      <c r="M148" t="inlineStr">
        <is>
          <t>En revision</t>
        </is>
      </c>
      <c r="N148" t="inlineStr">
        <is>
          <t>Baja</t>
        </is>
      </c>
      <c r="O148" t="n">
        <v>19</v>
      </c>
      <c r="P148" s="14" t="n">
        <v>8639</v>
      </c>
      <c r="Q148" s="15" t="n">
        <v>0.15</v>
      </c>
      <c r="R148" s="14" t="n">
        <v>5010.62</v>
      </c>
      <c r="S148" s="12" t="n">
        <v>46106</v>
      </c>
      <c r="T148" s="12" t="n">
        <v>46107</v>
      </c>
      <c r="U148" t="inlineStr">
        <is>
          <t>Resp 4</t>
        </is>
      </c>
      <c r="V148" t="inlineStr">
        <is>
          <t>archivo_04.csv</t>
        </is>
      </c>
      <c r="W148" s="14">
        <f>O148*P148</f>
        <v/>
      </c>
      <c r="X148" s="14">
        <f>W148*Q148</f>
        <v/>
      </c>
      <c r="Y148" s="14">
        <f>W148-X148</f>
        <v/>
      </c>
      <c r="Z148" s="14">
        <f>O148*R148</f>
        <v/>
      </c>
      <c r="AA148" s="14">
        <f>Y148-Z148</f>
        <v/>
      </c>
      <c r="AB148" s="15">
        <f>IF(Y148=0,0,AA148/Y148)</f>
        <v/>
      </c>
      <c r="AC148">
        <f>MAX(0,T148-S148)</f>
        <v/>
      </c>
      <c r="AD148">
        <f>UPPER(TRIM(J148))&amp;"|"&amp;UPPER(TRIM(B148))&amp;"|"&amp;TEXT(C148,"yyyymmdd")&amp;"|"&amp;UPPER(TRIM(G148))</f>
        <v/>
      </c>
      <c r="AE148">
        <f>COUNTIF($AD$2:$AD$241,AD148)</f>
        <v/>
      </c>
    </row>
    <row r="149">
      <c r="A149" t="n">
        <v>148</v>
      </c>
      <c r="B149" t="inlineStr">
        <is>
          <t>OP-000148</t>
        </is>
      </c>
      <c r="C149" s="12" t="n">
        <v>46099</v>
      </c>
      <c r="D149" s="13" t="n">
        <v>0.4722222222222222</v>
      </c>
      <c r="E149" t="inlineStr">
        <is>
          <t>C-0009</t>
        </is>
      </c>
      <c r="F149" t="inlineStr">
        <is>
          <t>Cliente 9</t>
        </is>
      </c>
      <c r="G149" t="inlineStr">
        <is>
          <t>P-300</t>
        </is>
      </c>
      <c r="H149" t="inlineStr">
        <is>
          <t>Mouse</t>
        </is>
      </c>
      <c r="I149" t="inlineStr">
        <is>
          <t>Tecnologia</t>
        </is>
      </c>
      <c r="J149" t="inlineStr">
        <is>
          <t>Pacifico</t>
        </is>
      </c>
      <c r="K149" t="inlineStr">
        <is>
          <t>SUC-05</t>
        </is>
      </c>
      <c r="L149" t="inlineStr">
        <is>
          <t>Tienda</t>
        </is>
      </c>
      <c r="M149" t="inlineStr">
        <is>
          <t>Aprobado</t>
        </is>
      </c>
      <c r="N149" t="inlineStr">
        <is>
          <t>Critica</t>
        </is>
      </c>
      <c r="O149" t="n">
        <v>22</v>
      </c>
      <c r="P149" s="14" t="n">
        <v>8776</v>
      </c>
      <c r="Q149" s="15" t="n">
        <v>0</v>
      </c>
      <c r="R149" s="14" t="n">
        <v>5177.84</v>
      </c>
      <c r="S149" s="12" t="n">
        <v>46114</v>
      </c>
      <c r="T149" s="12" t="n">
        <v>46115</v>
      </c>
      <c r="U149" t="inlineStr">
        <is>
          <t>Resp 5</t>
        </is>
      </c>
      <c r="V149" t="inlineStr">
        <is>
          <t>archivo_05.csv</t>
        </is>
      </c>
      <c r="W149" s="14">
        <f>O149*P149</f>
        <v/>
      </c>
      <c r="X149" s="14">
        <f>W149*Q149</f>
        <v/>
      </c>
      <c r="Y149" s="14">
        <f>W149-X149</f>
        <v/>
      </c>
      <c r="Z149" s="14">
        <f>O149*R149</f>
        <v/>
      </c>
      <c r="AA149" s="14">
        <f>Y149-Z149</f>
        <v/>
      </c>
      <c r="AB149" s="15">
        <f>IF(Y149=0,0,AA149/Y149)</f>
        <v/>
      </c>
      <c r="AC149">
        <f>MAX(0,T149-S149)</f>
        <v/>
      </c>
      <c r="AD149">
        <f>UPPER(TRIM(J149))&amp;"|"&amp;UPPER(TRIM(B149))&amp;"|"&amp;TEXT(C149,"yyyymmdd")&amp;"|"&amp;UPPER(TRIM(G149))</f>
        <v/>
      </c>
      <c r="AE149">
        <f>COUNTIF($AD$2:$AD$241,AD149)</f>
        <v/>
      </c>
    </row>
    <row r="150">
      <c r="A150" t="n">
        <v>149</v>
      </c>
      <c r="B150" t="inlineStr">
        <is>
          <t>OP-000149</t>
        </is>
      </c>
      <c r="C150" s="12" t="n">
        <v>46106</v>
      </c>
      <c r="D150" s="13" t="n">
        <v>0.5173611111111112</v>
      </c>
      <c r="E150" t="inlineStr">
        <is>
          <t>C-0010</t>
        </is>
      </c>
      <c r="F150" t="inlineStr">
        <is>
          <t>Cliente 10</t>
        </is>
      </c>
      <c r="G150" t="inlineStr">
        <is>
          <t>P-400</t>
        </is>
      </c>
      <c r="H150" t="inlineStr">
        <is>
          <t>Laptop</t>
        </is>
      </c>
      <c r="I150" t="inlineStr">
        <is>
          <t>Tecnologia</t>
        </is>
      </c>
      <c r="J150" t="inlineStr">
        <is>
          <t>Norte</t>
        </is>
      </c>
      <c r="K150" t="inlineStr">
        <is>
          <t>SUC-06</t>
        </is>
      </c>
      <c r="L150" t="inlineStr">
        <is>
          <t>Distribuidor</t>
        </is>
      </c>
      <c r="M150" t="inlineStr">
        <is>
          <t>Pendiente</t>
        </is>
      </c>
      <c r="N150" t="inlineStr">
        <is>
          <t>Alta</t>
        </is>
      </c>
      <c r="O150" t="n">
        <v>25</v>
      </c>
      <c r="P150" s="14" t="n">
        <v>8913</v>
      </c>
      <c r="Q150" s="15" t="n">
        <v>0.05</v>
      </c>
      <c r="R150" s="14" t="n">
        <v>5347.8</v>
      </c>
      <c r="S150" s="12" t="n">
        <v>46122</v>
      </c>
      <c r="T150" s="12" t="n">
        <v>46123</v>
      </c>
      <c r="U150" t="inlineStr">
        <is>
          <t>Resp 6</t>
        </is>
      </c>
      <c r="V150" t="inlineStr">
        <is>
          <t>archivo_06.csv</t>
        </is>
      </c>
      <c r="W150" s="14">
        <f>O150*P150</f>
        <v/>
      </c>
      <c r="X150" s="14">
        <f>W150*Q150</f>
        <v/>
      </c>
      <c r="Y150" s="14">
        <f>W150-X150</f>
        <v/>
      </c>
      <c r="Z150" s="14">
        <f>O150*R150</f>
        <v/>
      </c>
      <c r="AA150" s="14">
        <f>Y150-Z150</f>
        <v/>
      </c>
      <c r="AB150" s="15">
        <f>IF(Y150=0,0,AA150/Y150)</f>
        <v/>
      </c>
      <c r="AC150">
        <f>MAX(0,T150-S150)</f>
        <v/>
      </c>
      <c r="AD150">
        <f>UPPER(TRIM(J150))&amp;"|"&amp;UPPER(TRIM(B150))&amp;"|"&amp;TEXT(C150,"yyyymmdd")&amp;"|"&amp;UPPER(TRIM(G150))</f>
        <v/>
      </c>
      <c r="AE150">
        <f>COUNTIF($AD$2:$AD$241,AD150)</f>
        <v/>
      </c>
    </row>
    <row r="151">
      <c r="A151" t="n">
        <v>150</v>
      </c>
      <c r="B151" t="inlineStr">
        <is>
          <t>OP-000150</t>
        </is>
      </c>
      <c r="C151" s="12" t="n">
        <v>46113</v>
      </c>
      <c r="D151" s="13" t="n">
        <v>0.5625</v>
      </c>
      <c r="E151" t="inlineStr">
        <is>
          <t>C-0011</t>
        </is>
      </c>
      <c r="F151" t="inlineStr">
        <is>
          <t>Cliente 11</t>
        </is>
      </c>
      <c r="G151" t="inlineStr">
        <is>
          <t>P-500</t>
        </is>
      </c>
      <c r="H151" t="inlineStr">
        <is>
          <t>Dock</t>
        </is>
      </c>
      <c r="I151" t="inlineStr">
        <is>
          <t>Tecnologia</t>
        </is>
      </c>
      <c r="J151" t="inlineStr">
        <is>
          <t>Centro</t>
        </is>
      </c>
      <c r="K151" t="inlineStr">
        <is>
          <t>SUC-07</t>
        </is>
      </c>
      <c r="L151" t="inlineStr">
        <is>
          <t>Digital</t>
        </is>
      </c>
      <c r="M151" t="inlineStr">
        <is>
          <t>Cancelado</t>
        </is>
      </c>
      <c r="N151" t="inlineStr">
        <is>
          <t>Media</t>
        </is>
      </c>
      <c r="O151" t="n">
        <v>28</v>
      </c>
      <c r="P151" s="14" t="n">
        <v>9050</v>
      </c>
      <c r="Q151" s="15" t="n">
        <v>0.1</v>
      </c>
      <c r="R151" s="14" t="n">
        <v>5520.5</v>
      </c>
      <c r="S151" s="12" t="n">
        <v>46120</v>
      </c>
      <c r="T151" s="12" t="n">
        <v>46116</v>
      </c>
      <c r="U151" t="inlineStr">
        <is>
          <t>Resp 7</t>
        </is>
      </c>
      <c r="V151" t="inlineStr">
        <is>
          <t>archivo_01.csv</t>
        </is>
      </c>
      <c r="W151" s="14">
        <f>O151*P151</f>
        <v/>
      </c>
      <c r="X151" s="14">
        <f>W151*Q151</f>
        <v/>
      </c>
      <c r="Y151" s="14">
        <f>W151-X151</f>
        <v/>
      </c>
      <c r="Z151" s="14">
        <f>O151*R151</f>
        <v/>
      </c>
      <c r="AA151" s="14">
        <f>Y151-Z151</f>
        <v/>
      </c>
      <c r="AB151" s="15">
        <f>IF(Y151=0,0,AA151/Y151)</f>
        <v/>
      </c>
      <c r="AC151">
        <f>MAX(0,T151-S151)</f>
        <v/>
      </c>
      <c r="AD151">
        <f>UPPER(TRIM(J151))&amp;"|"&amp;UPPER(TRIM(B151))&amp;"|"&amp;TEXT(C151,"yyyymmdd")&amp;"|"&amp;UPPER(TRIM(G151))</f>
        <v/>
      </c>
      <c r="AE151">
        <f>COUNTIF($AD$2:$AD$241,AD151)</f>
        <v/>
      </c>
    </row>
    <row r="152">
      <c r="A152" t="n">
        <v>151</v>
      </c>
      <c r="B152" t="inlineStr">
        <is>
          <t>OP-000151</t>
        </is>
      </c>
      <c r="C152" s="12" t="n">
        <v>46120</v>
      </c>
      <c r="D152" s="13" t="n">
        <v>0.6076388888888888</v>
      </c>
      <c r="E152" t="inlineStr">
        <is>
          <t>C-0012</t>
        </is>
      </c>
      <c r="F152" t="inlineStr">
        <is>
          <t>Cliente 12</t>
        </is>
      </c>
      <c r="G152" t="inlineStr">
        <is>
          <t>P-100</t>
        </is>
      </c>
      <c r="H152" t="inlineStr">
        <is>
          <t>Monitor 24</t>
        </is>
      </c>
      <c r="I152" t="inlineStr">
        <is>
          <t>Tecnologia</t>
        </is>
      </c>
      <c r="J152" t="inlineStr">
        <is>
          <t>Sur</t>
        </is>
      </c>
      <c r="K152" t="inlineStr">
        <is>
          <t>SUC-08</t>
        </is>
      </c>
      <c r="L152" t="inlineStr">
        <is>
          <t>Tienda</t>
        </is>
      </c>
      <c r="M152" t="inlineStr">
        <is>
          <t>En revision</t>
        </is>
      </c>
      <c r="N152" t="inlineStr">
        <is>
          <t>Baja</t>
        </is>
      </c>
      <c r="O152" t="n">
        <v>31</v>
      </c>
      <c r="P152" s="14" t="n">
        <v>9187</v>
      </c>
      <c r="Q152" s="15" t="n">
        <v>0.15</v>
      </c>
      <c r="R152" s="14" t="n">
        <v>5695.94</v>
      </c>
      <c r="S152" s="12" t="n">
        <v>46128</v>
      </c>
      <c r="T152" s="12" t="n">
        <v>46124</v>
      </c>
      <c r="U152" t="inlineStr">
        <is>
          <t>Resp 8</t>
        </is>
      </c>
      <c r="V152" t="inlineStr">
        <is>
          <t>archivo_02.csv</t>
        </is>
      </c>
      <c r="W152" s="14">
        <f>O152*P152</f>
        <v/>
      </c>
      <c r="X152" s="14">
        <f>W152*Q152</f>
        <v/>
      </c>
      <c r="Y152" s="14">
        <f>W152-X152</f>
        <v/>
      </c>
      <c r="Z152" s="14">
        <f>O152*R152</f>
        <v/>
      </c>
      <c r="AA152" s="14">
        <f>Y152-Z152</f>
        <v/>
      </c>
      <c r="AB152" s="15">
        <f>IF(Y152=0,0,AA152/Y152)</f>
        <v/>
      </c>
      <c r="AC152">
        <f>MAX(0,T152-S152)</f>
        <v/>
      </c>
      <c r="AD152">
        <f>UPPER(TRIM(J152))&amp;"|"&amp;UPPER(TRIM(B152))&amp;"|"&amp;TEXT(C152,"yyyymmdd")&amp;"|"&amp;UPPER(TRIM(G152))</f>
        <v/>
      </c>
      <c r="AE152">
        <f>COUNTIF($AD$2:$AD$241,AD152)</f>
        <v/>
      </c>
    </row>
    <row r="153">
      <c r="A153" t="n">
        <v>152</v>
      </c>
      <c r="B153" t="inlineStr">
        <is>
          <t>OP-000152</t>
        </is>
      </c>
      <c r="C153" s="12" t="n">
        <v>46127</v>
      </c>
      <c r="D153" s="13" t="n">
        <v>0.6527777777777778</v>
      </c>
      <c r="E153" t="inlineStr">
        <is>
          <t>C-0013</t>
        </is>
      </c>
      <c r="F153" t="inlineStr">
        <is>
          <t>Cliente 13</t>
        </is>
      </c>
      <c r="G153" t="inlineStr">
        <is>
          <t>P-200</t>
        </is>
      </c>
      <c r="H153" t="inlineStr">
        <is>
          <t>Teclado</t>
        </is>
      </c>
      <c r="I153" t="inlineStr">
        <is>
          <t>Tecnologia</t>
        </is>
      </c>
      <c r="J153" t="inlineStr">
        <is>
          <t>Pacifico</t>
        </is>
      </c>
      <c r="K153" t="inlineStr">
        <is>
          <t>SUC-01</t>
        </is>
      </c>
      <c r="L153" t="inlineStr">
        <is>
          <t>Distribuidor</t>
        </is>
      </c>
      <c r="M153" t="inlineStr">
        <is>
          <t>Aprobado</t>
        </is>
      </c>
      <c r="N153" t="inlineStr">
        <is>
          <t>Critica</t>
        </is>
      </c>
      <c r="O153" t="n">
        <v>34</v>
      </c>
      <c r="P153" s="14" t="n">
        <v>9324</v>
      </c>
      <c r="Q153" s="15" t="n">
        <v>0</v>
      </c>
      <c r="R153" s="14" t="n">
        <v>5128.2</v>
      </c>
      <c r="S153" s="12" t="n">
        <v>46136</v>
      </c>
      <c r="T153" s="12" t="n">
        <v>46132</v>
      </c>
      <c r="U153" t="inlineStr">
        <is>
          <t>Resp 9</t>
        </is>
      </c>
      <c r="V153" t="inlineStr">
        <is>
          <t>archivo_03.csv</t>
        </is>
      </c>
      <c r="W153" s="14">
        <f>O153*P153</f>
        <v/>
      </c>
      <c r="X153" s="14">
        <f>W153*Q153</f>
        <v/>
      </c>
      <c r="Y153" s="14">
        <f>W153-X153</f>
        <v/>
      </c>
      <c r="Z153" s="14">
        <f>O153*R153</f>
        <v/>
      </c>
      <c r="AA153" s="14">
        <f>Y153-Z153</f>
        <v/>
      </c>
      <c r="AB153" s="15">
        <f>IF(Y153=0,0,AA153/Y153)</f>
        <v/>
      </c>
      <c r="AC153">
        <f>MAX(0,T153-S153)</f>
        <v/>
      </c>
      <c r="AD153">
        <f>UPPER(TRIM(J153))&amp;"|"&amp;UPPER(TRIM(B153))&amp;"|"&amp;TEXT(C153,"yyyymmdd")&amp;"|"&amp;UPPER(TRIM(G153))</f>
        <v/>
      </c>
      <c r="AE153">
        <f>COUNTIF($AD$2:$AD$241,AD153)</f>
        <v/>
      </c>
    </row>
    <row r="154">
      <c r="A154" t="n">
        <v>153</v>
      </c>
      <c r="B154" t="inlineStr">
        <is>
          <t>OP-000153</t>
        </is>
      </c>
      <c r="C154" s="12" t="n">
        <v>46134</v>
      </c>
      <c r="D154" s="13" t="n">
        <v>0.6979166666666666</v>
      </c>
      <c r="E154" t="inlineStr">
        <is>
          <t>C-0014</t>
        </is>
      </c>
      <c r="F154" t="inlineStr">
        <is>
          <t>Cliente 14</t>
        </is>
      </c>
      <c r="G154" t="inlineStr">
        <is>
          <t>P-300</t>
        </is>
      </c>
      <c r="H154" t="inlineStr">
        <is>
          <t>Mouse</t>
        </is>
      </c>
      <c r="I154" t="inlineStr">
        <is>
          <t>Tecnologia</t>
        </is>
      </c>
      <c r="J154" t="inlineStr">
        <is>
          <t>Norte</t>
        </is>
      </c>
      <c r="K154" t="inlineStr">
        <is>
          <t>SUC-02</t>
        </is>
      </c>
      <c r="L154" t="inlineStr">
        <is>
          <t>Digital</t>
        </is>
      </c>
      <c r="M154" t="inlineStr">
        <is>
          <t>Pendiente</t>
        </is>
      </c>
      <c r="N154" t="inlineStr">
        <is>
          <t>Alta</t>
        </is>
      </c>
      <c r="O154" t="n">
        <v>37</v>
      </c>
      <c r="P154" s="14" t="n">
        <v>9461</v>
      </c>
      <c r="Q154" s="15" t="n">
        <v>0.05</v>
      </c>
      <c r="R154" s="14" t="n">
        <v>5298.16</v>
      </c>
      <c r="S154" s="12" t="n">
        <v>46144</v>
      </c>
      <c r="T154" s="12" t="n">
        <v>46140</v>
      </c>
      <c r="U154" t="inlineStr">
        <is>
          <t>Resp 10</t>
        </is>
      </c>
      <c r="V154" t="inlineStr">
        <is>
          <t>archivo_04.csv</t>
        </is>
      </c>
      <c r="W154" s="14">
        <f>O154*P154</f>
        <v/>
      </c>
      <c r="X154" s="14">
        <f>W154*Q154</f>
        <v/>
      </c>
      <c r="Y154" s="14">
        <f>W154-X154</f>
        <v/>
      </c>
      <c r="Z154" s="14">
        <f>O154*R154</f>
        <v/>
      </c>
      <c r="AA154" s="14">
        <f>Y154-Z154</f>
        <v/>
      </c>
      <c r="AB154" s="15">
        <f>IF(Y154=0,0,AA154/Y154)</f>
        <v/>
      </c>
      <c r="AC154">
        <f>MAX(0,T154-S154)</f>
        <v/>
      </c>
      <c r="AD154">
        <f>UPPER(TRIM(J154))&amp;"|"&amp;UPPER(TRIM(B154))&amp;"|"&amp;TEXT(C154,"yyyymmdd")&amp;"|"&amp;UPPER(TRIM(G154))</f>
        <v/>
      </c>
      <c r="AE154">
        <f>COUNTIF($AD$2:$AD$241,AD154)</f>
        <v/>
      </c>
    </row>
    <row r="155">
      <c r="A155" t="n">
        <v>154</v>
      </c>
      <c r="B155" t="inlineStr">
        <is>
          <t>OP-000154</t>
        </is>
      </c>
      <c r="C155" s="12" t="n">
        <v>46141</v>
      </c>
      <c r="D155" s="13" t="n">
        <v>0.7430555555555556</v>
      </c>
      <c r="E155" t="inlineStr">
        <is>
          <t>C-0015</t>
        </is>
      </c>
      <c r="F155" t="inlineStr">
        <is>
          <t>Cliente 15</t>
        </is>
      </c>
      <c r="G155" t="inlineStr">
        <is>
          <t>P-400</t>
        </is>
      </c>
      <c r="H155" t="inlineStr">
        <is>
          <t>Laptop</t>
        </is>
      </c>
      <c r="I155" t="inlineStr">
        <is>
          <t>Tecnologia</t>
        </is>
      </c>
      <c r="J155" t="inlineStr">
        <is>
          <t>Centro</t>
        </is>
      </c>
      <c r="K155" t="inlineStr">
        <is>
          <t>SUC-03</t>
        </is>
      </c>
      <c r="L155" t="inlineStr">
        <is>
          <t>Tienda</t>
        </is>
      </c>
      <c r="M155" t="inlineStr">
        <is>
          <t>Cancelado</t>
        </is>
      </c>
      <c r="N155" t="inlineStr">
        <is>
          <t>Media</t>
        </is>
      </c>
      <c r="O155" t="n">
        <v>40</v>
      </c>
      <c r="P155" s="14" t="n">
        <v>9598</v>
      </c>
      <c r="Q155" s="15" t="n">
        <v>0.1</v>
      </c>
      <c r="R155" s="14" t="n">
        <v>5470.86</v>
      </c>
      <c r="S155" s="12" t="n">
        <v>46152</v>
      </c>
      <c r="T155" s="12" t="n">
        <v>46148</v>
      </c>
      <c r="U155" t="inlineStr">
        <is>
          <t>Resp 11</t>
        </is>
      </c>
      <c r="V155" t="inlineStr">
        <is>
          <t>archivo_05.csv</t>
        </is>
      </c>
      <c r="W155" s="14">
        <f>O155*P155</f>
        <v/>
      </c>
      <c r="X155" s="14">
        <f>W155*Q155</f>
        <v/>
      </c>
      <c r="Y155" s="14">
        <f>W155-X155</f>
        <v/>
      </c>
      <c r="Z155" s="14">
        <f>O155*R155</f>
        <v/>
      </c>
      <c r="AA155" s="14">
        <f>Y155-Z155</f>
        <v/>
      </c>
      <c r="AB155" s="15">
        <f>IF(Y155=0,0,AA155/Y155)</f>
        <v/>
      </c>
      <c r="AC155">
        <f>MAX(0,T155-S155)</f>
        <v/>
      </c>
      <c r="AD155">
        <f>UPPER(TRIM(J155))&amp;"|"&amp;UPPER(TRIM(B155))&amp;"|"&amp;TEXT(C155,"yyyymmdd")&amp;"|"&amp;UPPER(TRIM(G155))</f>
        <v/>
      </c>
      <c r="AE155">
        <f>COUNTIF($AD$2:$AD$241,AD155)</f>
        <v/>
      </c>
    </row>
    <row r="156">
      <c r="A156" t="n">
        <v>155</v>
      </c>
      <c r="B156" t="inlineStr">
        <is>
          <t>OP-000155</t>
        </is>
      </c>
      <c r="C156" s="12" t="n">
        <v>46148</v>
      </c>
      <c r="D156" s="13" t="n">
        <v>0.7881944444444444</v>
      </c>
      <c r="E156" t="inlineStr">
        <is>
          <t>C-0016</t>
        </is>
      </c>
      <c r="F156" t="inlineStr">
        <is>
          <t>Cliente 16</t>
        </is>
      </c>
      <c r="G156" t="inlineStr">
        <is>
          <t>P-500</t>
        </is>
      </c>
      <c r="H156" t="inlineStr">
        <is>
          <t>Dock</t>
        </is>
      </c>
      <c r="I156" t="inlineStr">
        <is>
          <t>Tecnologia</t>
        </is>
      </c>
      <c r="J156" t="inlineStr">
        <is>
          <t>Sur</t>
        </is>
      </c>
      <c r="K156" t="inlineStr">
        <is>
          <t>SUC-04</t>
        </is>
      </c>
      <c r="L156" t="inlineStr">
        <is>
          <t>Distribuidor</t>
        </is>
      </c>
      <c r="M156" t="inlineStr">
        <is>
          <t>En revision</t>
        </is>
      </c>
      <c r="N156" t="inlineStr">
        <is>
          <t>Baja</t>
        </is>
      </c>
      <c r="O156" t="n">
        <v>43</v>
      </c>
      <c r="P156" s="14" t="n">
        <v>9735</v>
      </c>
      <c r="Q156" s="15" t="n">
        <v>0.15</v>
      </c>
      <c r="R156" s="14" t="n">
        <v>5646.3</v>
      </c>
      <c r="S156" s="12" t="n">
        <v>46160</v>
      </c>
      <c r="T156" s="12" t="n">
        <v>46156</v>
      </c>
      <c r="U156" t="inlineStr">
        <is>
          <t>Resp 12</t>
        </is>
      </c>
      <c r="V156" t="inlineStr">
        <is>
          <t>archivo_06.csv</t>
        </is>
      </c>
      <c r="W156" s="14">
        <f>O156*P156</f>
        <v/>
      </c>
      <c r="X156" s="14">
        <f>W156*Q156</f>
        <v/>
      </c>
      <c r="Y156" s="14">
        <f>W156-X156</f>
        <v/>
      </c>
      <c r="Z156" s="14">
        <f>O156*R156</f>
        <v/>
      </c>
      <c r="AA156" s="14">
        <f>Y156-Z156</f>
        <v/>
      </c>
      <c r="AB156" s="15">
        <f>IF(Y156=0,0,AA156/Y156)</f>
        <v/>
      </c>
      <c r="AC156">
        <f>MAX(0,T156-S156)</f>
        <v/>
      </c>
      <c r="AD156">
        <f>UPPER(TRIM(J156))&amp;"|"&amp;UPPER(TRIM(B156))&amp;"|"&amp;TEXT(C156,"yyyymmdd")&amp;"|"&amp;UPPER(TRIM(G156))</f>
        <v/>
      </c>
      <c r="AE156">
        <f>COUNTIF($AD$2:$AD$241,AD156)</f>
        <v/>
      </c>
    </row>
    <row r="157">
      <c r="A157" t="n">
        <v>156</v>
      </c>
      <c r="B157" t="inlineStr">
        <is>
          <t>OP-000156</t>
        </is>
      </c>
      <c r="C157" s="12" t="n">
        <v>46155</v>
      </c>
      <c r="D157" s="13" t="n">
        <v>0.2916666666666667</v>
      </c>
      <c r="E157" t="inlineStr">
        <is>
          <t>C-0017</t>
        </is>
      </c>
      <c r="F157" t="inlineStr">
        <is>
          <t>Cliente 17</t>
        </is>
      </c>
      <c r="G157" t="inlineStr">
        <is>
          <t>P-100</t>
        </is>
      </c>
      <c r="H157" t="inlineStr">
        <is>
          <t>Monitor 24</t>
        </is>
      </c>
      <c r="I157" t="inlineStr">
        <is>
          <t>Tecnologia</t>
        </is>
      </c>
      <c r="J157" t="inlineStr">
        <is>
          <t>Pacifico</t>
        </is>
      </c>
      <c r="K157" t="inlineStr">
        <is>
          <t>SUC-05</t>
        </is>
      </c>
      <c r="L157" t="inlineStr">
        <is>
          <t>Digital</t>
        </is>
      </c>
      <c r="M157" t="inlineStr">
        <is>
          <t>Aprobado</t>
        </is>
      </c>
      <c r="N157" t="inlineStr">
        <is>
          <t>Critica</t>
        </is>
      </c>
      <c r="O157" t="n">
        <v>46</v>
      </c>
      <c r="P157" s="14" t="n">
        <v>9872</v>
      </c>
      <c r="Q157" s="15" t="n">
        <v>0</v>
      </c>
      <c r="R157" s="14" t="n">
        <v>5824.48</v>
      </c>
      <c r="S157" s="12" t="n">
        <v>46168</v>
      </c>
      <c r="T157" s="12" t="n">
        <v>46164</v>
      </c>
      <c r="U157" t="inlineStr">
        <is>
          <t>Resp 1</t>
        </is>
      </c>
      <c r="V157" t="inlineStr">
        <is>
          <t>archivo_01.csv</t>
        </is>
      </c>
      <c r="W157" s="14">
        <f>O157*P157</f>
        <v/>
      </c>
      <c r="X157" s="14">
        <f>W157*Q157</f>
        <v/>
      </c>
      <c r="Y157" s="14">
        <f>W157-X157</f>
        <v/>
      </c>
      <c r="Z157" s="14">
        <f>O157*R157</f>
        <v/>
      </c>
      <c r="AA157" s="14">
        <f>Y157-Z157</f>
        <v/>
      </c>
      <c r="AB157" s="15">
        <f>IF(Y157=0,0,AA157/Y157)</f>
        <v/>
      </c>
      <c r="AC157">
        <f>MAX(0,T157-S157)</f>
        <v/>
      </c>
      <c r="AD157">
        <f>UPPER(TRIM(J157))&amp;"|"&amp;UPPER(TRIM(B157))&amp;"|"&amp;TEXT(C157,"yyyymmdd")&amp;"|"&amp;UPPER(TRIM(G157))</f>
        <v/>
      </c>
      <c r="AE157">
        <f>COUNTIF($AD$2:$AD$241,AD157)</f>
        <v/>
      </c>
    </row>
    <row r="158">
      <c r="A158" t="n">
        <v>157</v>
      </c>
      <c r="B158" t="inlineStr">
        <is>
          <t>OP-000157</t>
        </is>
      </c>
      <c r="C158" s="12" t="n">
        <v>46162</v>
      </c>
      <c r="D158" s="13" t="n">
        <v>0.3368055555555556</v>
      </c>
      <c r="E158" t="inlineStr">
        <is>
          <t>C-0018</t>
        </is>
      </c>
      <c r="F158" t="inlineStr">
        <is>
          <t>Cliente 18</t>
        </is>
      </c>
      <c r="G158" t="inlineStr">
        <is>
          <t>P-200</t>
        </is>
      </c>
      <c r="H158" t="inlineStr">
        <is>
          <t>Teclado</t>
        </is>
      </c>
      <c r="I158" t="inlineStr">
        <is>
          <t>Tecnologia</t>
        </is>
      </c>
      <c r="J158" t="inlineStr">
        <is>
          <t>Norte</t>
        </is>
      </c>
      <c r="K158" t="inlineStr">
        <is>
          <t>SUC-06</t>
        </is>
      </c>
      <c r="L158" t="inlineStr">
        <is>
          <t>Tienda</t>
        </is>
      </c>
      <c r="M158" t="inlineStr">
        <is>
          <t>Pendiente</t>
        </is>
      </c>
      <c r="N158" t="inlineStr">
        <is>
          <t>Alta</t>
        </is>
      </c>
      <c r="O158" t="n">
        <v>2</v>
      </c>
      <c r="P158" s="14" t="n">
        <v>10009</v>
      </c>
      <c r="Q158" s="15" t="n">
        <v>0.05</v>
      </c>
      <c r="R158" s="14" t="n">
        <v>6005.4</v>
      </c>
      <c r="S158" s="12" t="n">
        <v>46176</v>
      </c>
      <c r="T158" s="12" t="n">
        <v>46172</v>
      </c>
      <c r="U158" t="inlineStr">
        <is>
          <t>Resp 2</t>
        </is>
      </c>
      <c r="V158" t="inlineStr">
        <is>
          <t>archivo_02.csv</t>
        </is>
      </c>
      <c r="W158" s="14">
        <f>O158*P158</f>
        <v/>
      </c>
      <c r="X158" s="14">
        <f>W158*Q158</f>
        <v/>
      </c>
      <c r="Y158" s="14">
        <f>W158-X158</f>
        <v/>
      </c>
      <c r="Z158" s="14">
        <f>O158*R158</f>
        <v/>
      </c>
      <c r="AA158" s="14">
        <f>Y158-Z158</f>
        <v/>
      </c>
      <c r="AB158" s="15">
        <f>IF(Y158=0,0,AA158/Y158)</f>
        <v/>
      </c>
      <c r="AC158">
        <f>MAX(0,T158-S158)</f>
        <v/>
      </c>
      <c r="AD158">
        <f>UPPER(TRIM(J158))&amp;"|"&amp;UPPER(TRIM(B158))&amp;"|"&amp;TEXT(C158,"yyyymmdd")&amp;"|"&amp;UPPER(TRIM(G158))</f>
        <v/>
      </c>
      <c r="AE158">
        <f>COUNTIF($AD$2:$AD$241,AD158)</f>
        <v/>
      </c>
    </row>
    <row r="159">
      <c r="A159" t="n">
        <v>158</v>
      </c>
      <c r="B159" t="inlineStr">
        <is>
          <t>OP-000158</t>
        </is>
      </c>
      <c r="C159" s="12" t="n">
        <v>46169</v>
      </c>
      <c r="D159" s="13" t="n">
        <v>0.3819444444444444</v>
      </c>
      <c r="E159" t="inlineStr">
        <is>
          <t>C-0019</t>
        </is>
      </c>
      <c r="F159" t="inlineStr">
        <is>
          <t>Cliente 19</t>
        </is>
      </c>
      <c r="G159" t="inlineStr">
        <is>
          <t>P-300</t>
        </is>
      </c>
      <c r="H159" t="inlineStr">
        <is>
          <t>Mouse</t>
        </is>
      </c>
      <c r="I159" t="inlineStr">
        <is>
          <t>Tecnologia</t>
        </is>
      </c>
      <c r="J159" t="inlineStr">
        <is>
          <t>Centro</t>
        </is>
      </c>
      <c r="K159" t="inlineStr">
        <is>
          <t>SUC-07</t>
        </is>
      </c>
      <c r="L159" t="inlineStr">
        <is>
          <t>Distribuidor</t>
        </is>
      </c>
      <c r="M159" t="inlineStr">
        <is>
          <t>Cancelado</t>
        </is>
      </c>
      <c r="N159" t="inlineStr">
        <is>
          <t>Media</t>
        </is>
      </c>
      <c r="O159" t="n">
        <v>5</v>
      </c>
      <c r="P159" s="14" t="n">
        <v>10146</v>
      </c>
      <c r="Q159" s="15" t="n">
        <v>0.1</v>
      </c>
      <c r="R159" s="14" t="n">
        <v>6189.06</v>
      </c>
      <c r="S159" s="12" t="n">
        <v>46184</v>
      </c>
      <c r="T159" s="12" t="n">
        <v>46180</v>
      </c>
      <c r="U159" t="inlineStr">
        <is>
          <t>Resp 3</t>
        </is>
      </c>
      <c r="V159" t="inlineStr">
        <is>
          <t>archivo_03.csv</t>
        </is>
      </c>
      <c r="W159" s="14">
        <f>O159*P159</f>
        <v/>
      </c>
      <c r="X159" s="14">
        <f>W159*Q159</f>
        <v/>
      </c>
      <c r="Y159" s="14">
        <f>W159-X159</f>
        <v/>
      </c>
      <c r="Z159" s="14">
        <f>O159*R159</f>
        <v/>
      </c>
      <c r="AA159" s="14">
        <f>Y159-Z159</f>
        <v/>
      </c>
      <c r="AB159" s="15">
        <f>IF(Y159=0,0,AA159/Y159)</f>
        <v/>
      </c>
      <c r="AC159">
        <f>MAX(0,T159-S159)</f>
        <v/>
      </c>
      <c r="AD159">
        <f>UPPER(TRIM(J159))&amp;"|"&amp;UPPER(TRIM(B159))&amp;"|"&amp;TEXT(C159,"yyyymmdd")&amp;"|"&amp;UPPER(TRIM(G159))</f>
        <v/>
      </c>
      <c r="AE159">
        <f>COUNTIF($AD$2:$AD$241,AD159)</f>
        <v/>
      </c>
    </row>
    <row r="160">
      <c r="A160" t="n">
        <v>159</v>
      </c>
      <c r="B160" t="inlineStr">
        <is>
          <t>OP-000159</t>
        </is>
      </c>
      <c r="C160" s="12" t="n">
        <v>46176</v>
      </c>
      <c r="D160" s="13" t="n">
        <v>0.4270833333333333</v>
      </c>
      <c r="E160" t="inlineStr">
        <is>
          <t>C-0020</t>
        </is>
      </c>
      <c r="F160" t="inlineStr">
        <is>
          <t>Cliente 20</t>
        </is>
      </c>
      <c r="G160" t="inlineStr">
        <is>
          <t>P-400</t>
        </is>
      </c>
      <c r="H160" t="inlineStr">
        <is>
          <t>Laptop</t>
        </is>
      </c>
      <c r="I160" t="inlineStr">
        <is>
          <t>Tecnologia</t>
        </is>
      </c>
      <c r="J160" t="inlineStr">
        <is>
          <t>Sur</t>
        </is>
      </c>
      <c r="K160" t="inlineStr">
        <is>
          <t>SUC-08</t>
        </is>
      </c>
      <c r="L160" t="inlineStr">
        <is>
          <t>Digital</t>
        </is>
      </c>
      <c r="M160" t="inlineStr">
        <is>
          <t>En revision</t>
        </is>
      </c>
      <c r="N160" t="inlineStr">
        <is>
          <t>Baja</t>
        </is>
      </c>
      <c r="O160" t="n">
        <v>8</v>
      </c>
      <c r="P160" s="14" t="n">
        <v>10283</v>
      </c>
      <c r="Q160" s="15" t="n">
        <v>0.15</v>
      </c>
      <c r="R160" s="14" t="n">
        <v>6375.46</v>
      </c>
      <c r="S160" s="12" t="n">
        <v>46192</v>
      </c>
      <c r="T160" s="12" t="n">
        <v>46188</v>
      </c>
      <c r="U160" t="inlineStr">
        <is>
          <t>Resp 4</t>
        </is>
      </c>
      <c r="V160" t="inlineStr">
        <is>
          <t>archivo_04.csv</t>
        </is>
      </c>
      <c r="W160" s="14">
        <f>O160*P160</f>
        <v/>
      </c>
      <c r="X160" s="14">
        <f>W160*Q160</f>
        <v/>
      </c>
      <c r="Y160" s="14">
        <f>W160-X160</f>
        <v/>
      </c>
      <c r="Z160" s="14">
        <f>O160*R160</f>
        <v/>
      </c>
      <c r="AA160" s="14">
        <f>Y160-Z160</f>
        <v/>
      </c>
      <c r="AB160" s="15">
        <f>IF(Y160=0,0,AA160/Y160)</f>
        <v/>
      </c>
      <c r="AC160">
        <f>MAX(0,T160-S160)</f>
        <v/>
      </c>
      <c r="AD160">
        <f>UPPER(TRIM(J160))&amp;"|"&amp;UPPER(TRIM(B160))&amp;"|"&amp;TEXT(C160,"yyyymmdd")&amp;"|"&amp;UPPER(TRIM(G160))</f>
        <v/>
      </c>
      <c r="AE160">
        <f>COUNTIF($AD$2:$AD$241,AD160)</f>
        <v/>
      </c>
    </row>
    <row r="161">
      <c r="A161" t="n">
        <v>160</v>
      </c>
      <c r="B161" t="inlineStr">
        <is>
          <t>OP-000160</t>
        </is>
      </c>
      <c r="C161" s="12" t="n">
        <v>46183</v>
      </c>
      <c r="D161" s="13" t="n">
        <v>0.4722222222222222</v>
      </c>
      <c r="E161" t="inlineStr">
        <is>
          <t>C-0021</t>
        </is>
      </c>
      <c r="F161" t="inlineStr">
        <is>
          <t>Cliente 21</t>
        </is>
      </c>
      <c r="G161" t="inlineStr">
        <is>
          <t>P-500</t>
        </is>
      </c>
      <c r="H161" t="inlineStr">
        <is>
          <t>Dock</t>
        </is>
      </c>
      <c r="I161" t="inlineStr">
        <is>
          <t>Tecnologia</t>
        </is>
      </c>
      <c r="J161" t="inlineStr">
        <is>
          <t>Pacifico</t>
        </is>
      </c>
      <c r="K161" t="inlineStr">
        <is>
          <t>SUC-01</t>
        </is>
      </c>
      <c r="L161" t="inlineStr">
        <is>
          <t>Tienda</t>
        </is>
      </c>
      <c r="M161" t="inlineStr">
        <is>
          <t>Aprobado</t>
        </is>
      </c>
      <c r="N161" t="inlineStr">
        <is>
          <t>Critica</t>
        </is>
      </c>
      <c r="O161" t="n">
        <v>11</v>
      </c>
      <c r="P161" s="14" t="n">
        <v>10420</v>
      </c>
      <c r="Q161" s="15" t="n">
        <v>0</v>
      </c>
      <c r="R161" s="14" t="n">
        <v>5731</v>
      </c>
      <c r="S161" s="12" t="n">
        <v>46190</v>
      </c>
      <c r="T161" s="12" t="n">
        <v>46196</v>
      </c>
      <c r="U161" t="inlineStr">
        <is>
          <t>Resp 5</t>
        </is>
      </c>
      <c r="V161" t="inlineStr">
        <is>
          <t>archivo_05.csv</t>
        </is>
      </c>
      <c r="W161" s="14">
        <f>O161*P161</f>
        <v/>
      </c>
      <c r="X161" s="14">
        <f>W161*Q161</f>
        <v/>
      </c>
      <c r="Y161" s="14">
        <f>W161-X161</f>
        <v/>
      </c>
      <c r="Z161" s="14">
        <f>O161*R161</f>
        <v/>
      </c>
      <c r="AA161" s="14">
        <f>Y161-Z161</f>
        <v/>
      </c>
      <c r="AB161" s="15">
        <f>IF(Y161=0,0,AA161/Y161)</f>
        <v/>
      </c>
      <c r="AC161">
        <f>MAX(0,T161-S161)</f>
        <v/>
      </c>
      <c r="AD161">
        <f>UPPER(TRIM(J161))&amp;"|"&amp;UPPER(TRIM(B161))&amp;"|"&amp;TEXT(C161,"yyyymmdd")&amp;"|"&amp;UPPER(TRIM(G161))</f>
        <v/>
      </c>
      <c r="AE161">
        <f>COUNTIF($AD$2:$AD$241,AD161)</f>
        <v/>
      </c>
    </row>
    <row r="162">
      <c r="A162" t="n">
        <v>161</v>
      </c>
      <c r="B162" t="inlineStr">
        <is>
          <t>OP-000161</t>
        </is>
      </c>
      <c r="C162" s="12" t="n">
        <v>46190</v>
      </c>
      <c r="D162" s="13" t="n">
        <v>0.5173611111111112</v>
      </c>
      <c r="E162" t="inlineStr">
        <is>
          <t>C-0022</t>
        </is>
      </c>
      <c r="F162" t="inlineStr">
        <is>
          <t>Cliente 22</t>
        </is>
      </c>
      <c r="G162" t="inlineStr">
        <is>
          <t>P-100</t>
        </is>
      </c>
      <c r="H162" t="inlineStr">
        <is>
          <t>Monitor 24</t>
        </is>
      </c>
      <c r="I162" t="inlineStr">
        <is>
          <t>Tecnologia</t>
        </is>
      </c>
      <c r="J162" t="inlineStr">
        <is>
          <t>Norte</t>
        </is>
      </c>
      <c r="K162" t="inlineStr">
        <is>
          <t>SUC-02</t>
        </is>
      </c>
      <c r="L162" t="inlineStr">
        <is>
          <t>Distribuidor</t>
        </is>
      </c>
      <c r="M162" t="inlineStr">
        <is>
          <t>Pendiente</t>
        </is>
      </c>
      <c r="N162" t="inlineStr">
        <is>
          <t>Alta</t>
        </is>
      </c>
      <c r="O162" t="n">
        <v>14</v>
      </c>
      <c r="P162" s="14" t="n">
        <v>10557</v>
      </c>
      <c r="Q162" s="15" t="n">
        <v>0.05</v>
      </c>
      <c r="R162" s="14" t="n">
        <v>5911.92</v>
      </c>
      <c r="S162" s="12" t="n">
        <v>46198</v>
      </c>
      <c r="T162" s="12" t="n">
        <v>46204</v>
      </c>
      <c r="U162" t="inlineStr">
        <is>
          <t>Resp 6</t>
        </is>
      </c>
      <c r="V162" t="inlineStr">
        <is>
          <t>archivo_06.csv</t>
        </is>
      </c>
      <c r="W162" s="14">
        <f>O162*P162</f>
        <v/>
      </c>
      <c r="X162" s="14">
        <f>W162*Q162</f>
        <v/>
      </c>
      <c r="Y162" s="14">
        <f>W162-X162</f>
        <v/>
      </c>
      <c r="Z162" s="14">
        <f>O162*R162</f>
        <v/>
      </c>
      <c r="AA162" s="14">
        <f>Y162-Z162</f>
        <v/>
      </c>
      <c r="AB162" s="15">
        <f>IF(Y162=0,0,AA162/Y162)</f>
        <v/>
      </c>
      <c r="AC162">
        <f>MAX(0,T162-S162)</f>
        <v/>
      </c>
      <c r="AD162">
        <f>UPPER(TRIM(J162))&amp;"|"&amp;UPPER(TRIM(B162))&amp;"|"&amp;TEXT(C162,"yyyymmdd")&amp;"|"&amp;UPPER(TRIM(G162))</f>
        <v/>
      </c>
      <c r="AE162">
        <f>COUNTIF($AD$2:$AD$241,AD162)</f>
        <v/>
      </c>
    </row>
    <row r="163">
      <c r="A163" t="n">
        <v>162</v>
      </c>
      <c r="B163" t="inlineStr">
        <is>
          <t>OP-000162</t>
        </is>
      </c>
      <c r="C163" s="12" t="n">
        <v>46197</v>
      </c>
      <c r="D163" s="13" t="n">
        <v>0.5625</v>
      </c>
      <c r="E163" t="inlineStr">
        <is>
          <t>C-0023</t>
        </is>
      </c>
      <c r="F163" t="inlineStr">
        <is>
          <t>Cliente 23</t>
        </is>
      </c>
      <c r="G163" t="inlineStr">
        <is>
          <t>P-200</t>
        </is>
      </c>
      <c r="H163" t="inlineStr">
        <is>
          <t>Teclado</t>
        </is>
      </c>
      <c r="I163" t="inlineStr">
        <is>
          <t>Tecnologia</t>
        </is>
      </c>
      <c r="J163" t="inlineStr">
        <is>
          <t>Centro</t>
        </is>
      </c>
      <c r="K163" t="inlineStr">
        <is>
          <t>SUC-03</t>
        </is>
      </c>
      <c r="L163" t="inlineStr">
        <is>
          <t>Digital</t>
        </is>
      </c>
      <c r="M163" t="inlineStr">
        <is>
          <t>Cancelado</t>
        </is>
      </c>
      <c r="N163" t="inlineStr">
        <is>
          <t>Media</t>
        </is>
      </c>
      <c r="O163" t="n">
        <v>17</v>
      </c>
      <c r="P163" s="14" t="n">
        <v>10694</v>
      </c>
      <c r="Q163" s="15" t="n">
        <v>0.1</v>
      </c>
      <c r="R163" s="14" t="n">
        <v>6095.58</v>
      </c>
      <c r="S163" s="12" t="n">
        <v>46206</v>
      </c>
      <c r="T163" s="12" t="n">
        <v>46212</v>
      </c>
      <c r="U163" t="inlineStr">
        <is>
          <t>Resp 7</t>
        </is>
      </c>
      <c r="V163" t="inlineStr">
        <is>
          <t>archivo_01.csv</t>
        </is>
      </c>
      <c r="W163" s="14">
        <f>O163*P163</f>
        <v/>
      </c>
      <c r="X163" s="14">
        <f>W163*Q163</f>
        <v/>
      </c>
      <c r="Y163" s="14">
        <f>W163-X163</f>
        <v/>
      </c>
      <c r="Z163" s="14">
        <f>O163*R163</f>
        <v/>
      </c>
      <c r="AA163" s="14">
        <f>Y163-Z163</f>
        <v/>
      </c>
      <c r="AB163" s="15">
        <f>IF(Y163=0,0,AA163/Y163)</f>
        <v/>
      </c>
      <c r="AC163">
        <f>MAX(0,T163-S163)</f>
        <v/>
      </c>
      <c r="AD163">
        <f>UPPER(TRIM(J163))&amp;"|"&amp;UPPER(TRIM(B163))&amp;"|"&amp;TEXT(C163,"yyyymmdd")&amp;"|"&amp;UPPER(TRIM(G163))</f>
        <v/>
      </c>
      <c r="AE163">
        <f>COUNTIF($AD$2:$AD$241,AD163)</f>
        <v/>
      </c>
    </row>
    <row r="164">
      <c r="A164" t="n">
        <v>163</v>
      </c>
      <c r="B164" t="inlineStr">
        <is>
          <t>OP-000163</t>
        </is>
      </c>
      <c r="C164" s="12" t="n">
        <v>46204</v>
      </c>
      <c r="D164" s="13" t="n">
        <v>0.6076388888888888</v>
      </c>
      <c r="E164" t="inlineStr">
        <is>
          <t>C-0024</t>
        </is>
      </c>
      <c r="F164" t="inlineStr">
        <is>
          <t>Cliente 24</t>
        </is>
      </c>
      <c r="G164" t="inlineStr">
        <is>
          <t>P-300</t>
        </is>
      </c>
      <c r="H164" t="inlineStr">
        <is>
          <t>Mouse</t>
        </is>
      </c>
      <c r="I164" t="inlineStr">
        <is>
          <t>Tecnologia</t>
        </is>
      </c>
      <c r="J164" t="inlineStr">
        <is>
          <t>Sur</t>
        </is>
      </c>
      <c r="K164" t="inlineStr">
        <is>
          <t>SUC-04</t>
        </is>
      </c>
      <c r="L164" t="inlineStr">
        <is>
          <t>Tienda</t>
        </is>
      </c>
      <c r="M164" t="inlineStr">
        <is>
          <t>En revision</t>
        </is>
      </c>
      <c r="N164" t="inlineStr">
        <is>
          <t>Baja</t>
        </is>
      </c>
      <c r="O164" t="n">
        <v>20</v>
      </c>
      <c r="P164" s="14" t="n">
        <v>10831</v>
      </c>
      <c r="Q164" s="15" t="n">
        <v>0.15</v>
      </c>
      <c r="R164" s="14" t="n">
        <v>6281.98</v>
      </c>
      <c r="S164" s="12" t="n">
        <v>46214</v>
      </c>
      <c r="T164" s="12" t="n">
        <v>46220</v>
      </c>
      <c r="U164" t="inlineStr">
        <is>
          <t>Resp 8</t>
        </is>
      </c>
      <c r="V164" t="inlineStr">
        <is>
          <t>archivo_02.csv</t>
        </is>
      </c>
      <c r="W164" s="14">
        <f>O164*P164</f>
        <v/>
      </c>
      <c r="X164" s="14">
        <f>W164*Q164</f>
        <v/>
      </c>
      <c r="Y164" s="14">
        <f>W164-X164</f>
        <v/>
      </c>
      <c r="Z164" s="14">
        <f>O164*R164</f>
        <v/>
      </c>
      <c r="AA164" s="14">
        <f>Y164-Z164</f>
        <v/>
      </c>
      <c r="AB164" s="15">
        <f>IF(Y164=0,0,AA164/Y164)</f>
        <v/>
      </c>
      <c r="AC164">
        <f>MAX(0,T164-S164)</f>
        <v/>
      </c>
      <c r="AD164">
        <f>UPPER(TRIM(J164))&amp;"|"&amp;UPPER(TRIM(B164))&amp;"|"&amp;TEXT(C164,"yyyymmdd")&amp;"|"&amp;UPPER(TRIM(G164))</f>
        <v/>
      </c>
      <c r="AE164">
        <f>COUNTIF($AD$2:$AD$241,AD164)</f>
        <v/>
      </c>
    </row>
    <row r="165">
      <c r="A165" t="n">
        <v>164</v>
      </c>
      <c r="B165" t="inlineStr">
        <is>
          <t>OP-000164</t>
        </is>
      </c>
      <c r="C165" s="12" t="n">
        <v>46211</v>
      </c>
      <c r="D165" s="13" t="n">
        <v>0.6527777777777778</v>
      </c>
      <c r="E165" t="inlineStr">
        <is>
          <t>C-0025</t>
        </is>
      </c>
      <c r="F165" t="inlineStr">
        <is>
          <t>Cliente 25</t>
        </is>
      </c>
      <c r="G165" t="inlineStr">
        <is>
          <t>P-400</t>
        </is>
      </c>
      <c r="H165" t="inlineStr">
        <is>
          <t>Laptop</t>
        </is>
      </c>
      <c r="I165" t="inlineStr">
        <is>
          <t>Tecnologia</t>
        </is>
      </c>
      <c r="J165" t="inlineStr">
        <is>
          <t>Pacifico</t>
        </is>
      </c>
      <c r="K165" t="inlineStr">
        <is>
          <t>SUC-05</t>
        </is>
      </c>
      <c r="L165" t="inlineStr">
        <is>
          <t>Distribuidor</t>
        </is>
      </c>
      <c r="M165" t="inlineStr">
        <is>
          <t>Aprobado</t>
        </is>
      </c>
      <c r="N165" t="inlineStr">
        <is>
          <t>Critica</t>
        </is>
      </c>
      <c r="O165" t="n">
        <v>23</v>
      </c>
      <c r="P165" s="14" t="n">
        <v>10968</v>
      </c>
      <c r="Q165" s="15" t="n">
        <v>0</v>
      </c>
      <c r="R165" s="14" t="n">
        <v>6471.12</v>
      </c>
      <c r="S165" s="12" t="n">
        <v>46222</v>
      </c>
      <c r="T165" s="12" t="n">
        <v>46228</v>
      </c>
      <c r="U165" t="inlineStr">
        <is>
          <t>Resp 9</t>
        </is>
      </c>
      <c r="V165" t="inlineStr">
        <is>
          <t>archivo_03.csv</t>
        </is>
      </c>
      <c r="W165" s="14">
        <f>O165*P165</f>
        <v/>
      </c>
      <c r="X165" s="14">
        <f>W165*Q165</f>
        <v/>
      </c>
      <c r="Y165" s="14">
        <f>W165-X165</f>
        <v/>
      </c>
      <c r="Z165" s="14">
        <f>O165*R165</f>
        <v/>
      </c>
      <c r="AA165" s="14">
        <f>Y165-Z165</f>
        <v/>
      </c>
      <c r="AB165" s="15">
        <f>IF(Y165=0,0,AA165/Y165)</f>
        <v/>
      </c>
      <c r="AC165">
        <f>MAX(0,T165-S165)</f>
        <v/>
      </c>
      <c r="AD165">
        <f>UPPER(TRIM(J165))&amp;"|"&amp;UPPER(TRIM(B165))&amp;"|"&amp;TEXT(C165,"yyyymmdd")&amp;"|"&amp;UPPER(TRIM(G165))</f>
        <v/>
      </c>
      <c r="AE165">
        <f>COUNTIF($AD$2:$AD$241,AD165)</f>
        <v/>
      </c>
    </row>
    <row r="166">
      <c r="A166" t="n">
        <v>165</v>
      </c>
      <c r="B166" t="inlineStr">
        <is>
          <t>OP-000165</t>
        </is>
      </c>
      <c r="C166" s="12" t="n">
        <v>46218</v>
      </c>
      <c r="D166" s="13" t="n">
        <v>0.6979166666666666</v>
      </c>
      <c r="E166" t="inlineStr">
        <is>
          <t>C-0026</t>
        </is>
      </c>
      <c r="F166" t="inlineStr">
        <is>
          <t>Cliente 26</t>
        </is>
      </c>
      <c r="G166" t="inlineStr">
        <is>
          <t>P-500</t>
        </is>
      </c>
      <c r="H166" t="inlineStr">
        <is>
          <t>Dock</t>
        </is>
      </c>
      <c r="I166" t="inlineStr">
        <is>
          <t>Tecnologia</t>
        </is>
      </c>
      <c r="J166" t="inlineStr">
        <is>
          <t>Norte</t>
        </is>
      </c>
      <c r="K166" t="inlineStr">
        <is>
          <t>SUC-06</t>
        </is>
      </c>
      <c r="L166" t="inlineStr">
        <is>
          <t>Digital</t>
        </is>
      </c>
      <c r="M166" t="inlineStr">
        <is>
          <t>Pendiente</t>
        </is>
      </c>
      <c r="N166" t="inlineStr">
        <is>
          <t>Alta</t>
        </is>
      </c>
      <c r="O166" t="n">
        <v>26</v>
      </c>
      <c r="P166" s="14" t="n">
        <v>11105</v>
      </c>
      <c r="Q166" s="15" t="n">
        <v>0.05</v>
      </c>
      <c r="R166" s="14" t="n">
        <v>6663</v>
      </c>
      <c r="S166" s="12" t="n">
        <v>46230</v>
      </c>
      <c r="T166" s="12" t="n">
        <v>46221</v>
      </c>
      <c r="U166" t="inlineStr">
        <is>
          <t>Resp 10</t>
        </is>
      </c>
      <c r="V166" t="inlineStr">
        <is>
          <t>archivo_04.csv</t>
        </is>
      </c>
      <c r="W166" s="14">
        <f>O166*P166</f>
        <v/>
      </c>
      <c r="X166" s="14">
        <f>W166*Q166</f>
        <v/>
      </c>
      <c r="Y166" s="14">
        <f>W166-X166</f>
        <v/>
      </c>
      <c r="Z166" s="14">
        <f>O166*R166</f>
        <v/>
      </c>
      <c r="AA166" s="14">
        <f>Y166-Z166</f>
        <v/>
      </c>
      <c r="AB166" s="15">
        <f>IF(Y166=0,0,AA166/Y166)</f>
        <v/>
      </c>
      <c r="AC166">
        <f>MAX(0,T166-S166)</f>
        <v/>
      </c>
      <c r="AD166">
        <f>UPPER(TRIM(J166))&amp;"|"&amp;UPPER(TRIM(B166))&amp;"|"&amp;TEXT(C166,"yyyymmdd")&amp;"|"&amp;UPPER(TRIM(G166))</f>
        <v/>
      </c>
      <c r="AE166">
        <f>COUNTIF($AD$2:$AD$241,AD166)</f>
        <v/>
      </c>
    </row>
    <row r="167">
      <c r="A167" t="n">
        <v>166</v>
      </c>
      <c r="B167" t="inlineStr">
        <is>
          <t>OP-000166</t>
        </is>
      </c>
      <c r="C167" s="12" t="n">
        <v>46225</v>
      </c>
      <c r="D167" s="13" t="n">
        <v>0.7430555555555556</v>
      </c>
      <c r="E167" t="inlineStr">
        <is>
          <t>C-0027</t>
        </is>
      </c>
      <c r="F167" t="inlineStr">
        <is>
          <t>Cliente 27</t>
        </is>
      </c>
      <c r="G167" t="inlineStr">
        <is>
          <t>P-100</t>
        </is>
      </c>
      <c r="H167" t="inlineStr">
        <is>
          <t>Monitor 24</t>
        </is>
      </c>
      <c r="I167" t="inlineStr">
        <is>
          <t>Tecnologia</t>
        </is>
      </c>
      <c r="J167" t="inlineStr">
        <is>
          <t>Centro</t>
        </is>
      </c>
      <c r="K167" t="inlineStr">
        <is>
          <t>SUC-07</t>
        </is>
      </c>
      <c r="L167" t="inlineStr">
        <is>
          <t>Tienda</t>
        </is>
      </c>
      <c r="M167" t="inlineStr">
        <is>
          <t>Cancelado</t>
        </is>
      </c>
      <c r="N167" t="inlineStr">
        <is>
          <t>Media</t>
        </is>
      </c>
      <c r="O167" t="n">
        <v>29</v>
      </c>
      <c r="P167" s="14" t="n">
        <v>11242</v>
      </c>
      <c r="Q167" s="15" t="n">
        <v>0.1</v>
      </c>
      <c r="R167" s="14" t="n">
        <v>6857.62</v>
      </c>
      <c r="S167" s="12" t="n">
        <v>46238</v>
      </c>
      <c r="T167" s="12" t="n">
        <v>46229</v>
      </c>
      <c r="U167" t="inlineStr">
        <is>
          <t>Resp 11</t>
        </is>
      </c>
      <c r="V167" t="inlineStr">
        <is>
          <t>archivo_05.csv</t>
        </is>
      </c>
      <c r="W167" s="14">
        <f>O167*P167</f>
        <v/>
      </c>
      <c r="X167" s="14">
        <f>W167*Q167</f>
        <v/>
      </c>
      <c r="Y167" s="14">
        <f>W167-X167</f>
        <v/>
      </c>
      <c r="Z167" s="14">
        <f>O167*R167</f>
        <v/>
      </c>
      <c r="AA167" s="14">
        <f>Y167-Z167</f>
        <v/>
      </c>
      <c r="AB167" s="15">
        <f>IF(Y167=0,0,AA167/Y167)</f>
        <v/>
      </c>
      <c r="AC167">
        <f>MAX(0,T167-S167)</f>
        <v/>
      </c>
      <c r="AD167">
        <f>UPPER(TRIM(J167))&amp;"|"&amp;UPPER(TRIM(B167))&amp;"|"&amp;TEXT(C167,"yyyymmdd")&amp;"|"&amp;UPPER(TRIM(G167))</f>
        <v/>
      </c>
      <c r="AE167">
        <f>COUNTIF($AD$2:$AD$241,AD167)</f>
        <v/>
      </c>
    </row>
    <row r="168">
      <c r="A168" t="n">
        <v>167</v>
      </c>
      <c r="B168" t="inlineStr">
        <is>
          <t>OP-000167</t>
        </is>
      </c>
      <c r="C168" s="12" t="n">
        <v>46232</v>
      </c>
      <c r="D168" s="13" t="n">
        <v>0.7881944444444444</v>
      </c>
      <c r="E168" t="inlineStr">
        <is>
          <t>C-0028</t>
        </is>
      </c>
      <c r="F168" t="inlineStr">
        <is>
          <t>Cliente 28</t>
        </is>
      </c>
      <c r="G168" t="inlineStr">
        <is>
          <t>P-200</t>
        </is>
      </c>
      <c r="H168" t="inlineStr">
        <is>
          <t>Teclado</t>
        </is>
      </c>
      <c r="I168" t="inlineStr">
        <is>
          <t>Tecnologia</t>
        </is>
      </c>
      <c r="J168" t="inlineStr">
        <is>
          <t>Sur</t>
        </is>
      </c>
      <c r="K168" t="inlineStr">
        <is>
          <t>SUC-08</t>
        </is>
      </c>
      <c r="L168" t="inlineStr">
        <is>
          <t>Distribuidor</t>
        </is>
      </c>
      <c r="M168" t="inlineStr">
        <is>
          <t>En revision</t>
        </is>
      </c>
      <c r="N168" t="inlineStr">
        <is>
          <t>Baja</t>
        </is>
      </c>
      <c r="O168" t="n">
        <v>32</v>
      </c>
      <c r="P168" s="14" t="n">
        <v>11379</v>
      </c>
      <c r="Q168" s="15" t="n">
        <v>0.15</v>
      </c>
      <c r="R168" s="14" t="n">
        <v>7054.98</v>
      </c>
      <c r="S168" s="12" t="n">
        <v>46246</v>
      </c>
      <c r="T168" s="12" t="n">
        <v>46237</v>
      </c>
      <c r="U168" t="inlineStr">
        <is>
          <t>Resp 12</t>
        </is>
      </c>
      <c r="V168" t="inlineStr">
        <is>
          <t>archivo_06.csv</t>
        </is>
      </c>
      <c r="W168" s="14">
        <f>O168*P168</f>
        <v/>
      </c>
      <c r="X168" s="14">
        <f>W168*Q168</f>
        <v/>
      </c>
      <c r="Y168" s="14">
        <f>W168-X168</f>
        <v/>
      </c>
      <c r="Z168" s="14">
        <f>O168*R168</f>
        <v/>
      </c>
      <c r="AA168" s="14">
        <f>Y168-Z168</f>
        <v/>
      </c>
      <c r="AB168" s="15">
        <f>IF(Y168=0,0,AA168/Y168)</f>
        <v/>
      </c>
      <c r="AC168">
        <f>MAX(0,T168-S168)</f>
        <v/>
      </c>
      <c r="AD168">
        <f>UPPER(TRIM(J168))&amp;"|"&amp;UPPER(TRIM(B168))&amp;"|"&amp;TEXT(C168,"yyyymmdd")&amp;"|"&amp;UPPER(TRIM(G168))</f>
        <v/>
      </c>
      <c r="AE168">
        <f>COUNTIF($AD$2:$AD$241,AD168)</f>
        <v/>
      </c>
    </row>
    <row r="169">
      <c r="A169" t="n">
        <v>168</v>
      </c>
      <c r="B169" t="inlineStr">
        <is>
          <t>OP-000168</t>
        </is>
      </c>
      <c r="C169" s="12" t="n">
        <v>46239</v>
      </c>
      <c r="D169" s="13" t="n">
        <v>0.2916666666666667</v>
      </c>
      <c r="E169" t="inlineStr">
        <is>
          <t>C-0029</t>
        </is>
      </c>
      <c r="F169" t="inlineStr">
        <is>
          <t>Cliente 29</t>
        </is>
      </c>
      <c r="G169" t="inlineStr">
        <is>
          <t>P-300</t>
        </is>
      </c>
      <c r="H169" t="inlineStr">
        <is>
          <t>Mouse</t>
        </is>
      </c>
      <c r="I169" t="inlineStr">
        <is>
          <t>Tecnologia</t>
        </is>
      </c>
      <c r="J169" t="inlineStr">
        <is>
          <t>Pacifico</t>
        </is>
      </c>
      <c r="K169" t="inlineStr">
        <is>
          <t>SUC-01</t>
        </is>
      </c>
      <c r="L169" t="inlineStr">
        <is>
          <t>Digital</t>
        </is>
      </c>
      <c r="M169" t="inlineStr">
        <is>
          <t>Aprobado</t>
        </is>
      </c>
      <c r="N169" t="inlineStr">
        <is>
          <t>Critica</t>
        </is>
      </c>
      <c r="O169" t="n">
        <v>35</v>
      </c>
      <c r="P169" s="14" t="n">
        <v>11516</v>
      </c>
      <c r="Q169" s="15" t="n">
        <v>0</v>
      </c>
      <c r="R169" s="14" t="n">
        <v>6333.8</v>
      </c>
      <c r="S169" s="12" t="n">
        <v>46254</v>
      </c>
      <c r="T169" s="12" t="n">
        <v>46245</v>
      </c>
      <c r="U169" t="inlineStr">
        <is>
          <t>Resp 1</t>
        </is>
      </c>
      <c r="V169" t="inlineStr">
        <is>
          <t>archivo_01.csv</t>
        </is>
      </c>
      <c r="W169" s="14">
        <f>O169*P169</f>
        <v/>
      </c>
      <c r="X169" s="14">
        <f>W169*Q169</f>
        <v/>
      </c>
      <c r="Y169" s="14">
        <f>W169-X169</f>
        <v/>
      </c>
      <c r="Z169" s="14">
        <f>O169*R169</f>
        <v/>
      </c>
      <c r="AA169" s="14">
        <f>Y169-Z169</f>
        <v/>
      </c>
      <c r="AB169" s="15">
        <f>IF(Y169=0,0,AA169/Y169)</f>
        <v/>
      </c>
      <c r="AC169">
        <f>MAX(0,T169-S169)</f>
        <v/>
      </c>
      <c r="AD169">
        <f>UPPER(TRIM(J169))&amp;"|"&amp;UPPER(TRIM(B169))&amp;"|"&amp;TEXT(C169,"yyyymmdd")&amp;"|"&amp;UPPER(TRIM(G169))</f>
        <v/>
      </c>
      <c r="AE169">
        <f>COUNTIF($AD$2:$AD$241,AD169)</f>
        <v/>
      </c>
    </row>
    <row r="170">
      <c r="A170" t="n">
        <v>169</v>
      </c>
      <c r="B170" t="inlineStr">
        <is>
          <t>OP-000169</t>
        </is>
      </c>
      <c r="C170" s="12" t="n">
        <v>46246</v>
      </c>
      <c r="D170" s="13" t="n">
        <v>0.3368055555555556</v>
      </c>
      <c r="E170" t="inlineStr">
        <is>
          <t>C-0030</t>
        </is>
      </c>
      <c r="F170" t="inlineStr">
        <is>
          <t>Cliente 30</t>
        </is>
      </c>
      <c r="G170" t="inlineStr">
        <is>
          <t>P-400</t>
        </is>
      </c>
      <c r="H170" t="inlineStr">
        <is>
          <t>Laptop</t>
        </is>
      </c>
      <c r="I170" t="inlineStr">
        <is>
          <t>Tecnologia</t>
        </is>
      </c>
      <c r="J170" t="inlineStr">
        <is>
          <t>Norte</t>
        </is>
      </c>
      <c r="K170" t="inlineStr">
        <is>
          <t>SUC-02</t>
        </is>
      </c>
      <c r="L170" t="inlineStr">
        <is>
          <t>Tienda</t>
        </is>
      </c>
      <c r="M170" t="inlineStr">
        <is>
          <t>Pendiente</t>
        </is>
      </c>
      <c r="N170" t="inlineStr">
        <is>
          <t>Alta</t>
        </is>
      </c>
      <c r="O170" t="n">
        <v>38</v>
      </c>
      <c r="P170" s="14" t="n">
        <v>11653</v>
      </c>
      <c r="Q170" s="15" t="n">
        <v>0.05</v>
      </c>
      <c r="R170" s="14" t="n">
        <v>6525.68</v>
      </c>
      <c r="S170" s="12" t="n">
        <v>46262</v>
      </c>
      <c r="T170" s="12" t="n">
        <v>46253</v>
      </c>
      <c r="U170" t="inlineStr">
        <is>
          <t>Resp 2</t>
        </is>
      </c>
      <c r="V170" t="inlineStr">
        <is>
          <t>archivo_02.csv</t>
        </is>
      </c>
      <c r="W170" s="14">
        <f>O170*P170</f>
        <v/>
      </c>
      <c r="X170" s="14">
        <f>W170*Q170</f>
        <v/>
      </c>
      <c r="Y170" s="14">
        <f>W170-X170</f>
        <v/>
      </c>
      <c r="Z170" s="14">
        <f>O170*R170</f>
        <v/>
      </c>
      <c r="AA170" s="14">
        <f>Y170-Z170</f>
        <v/>
      </c>
      <c r="AB170" s="15">
        <f>IF(Y170=0,0,AA170/Y170)</f>
        <v/>
      </c>
      <c r="AC170">
        <f>MAX(0,T170-S170)</f>
        <v/>
      </c>
      <c r="AD170">
        <f>UPPER(TRIM(J170))&amp;"|"&amp;UPPER(TRIM(B170))&amp;"|"&amp;TEXT(C170,"yyyymmdd")&amp;"|"&amp;UPPER(TRIM(G170))</f>
        <v/>
      </c>
      <c r="AE170">
        <f>COUNTIF($AD$2:$AD$241,AD170)</f>
        <v/>
      </c>
    </row>
    <row r="171">
      <c r="A171" t="n">
        <v>170</v>
      </c>
      <c r="B171" t="inlineStr">
        <is>
          <t>OP-000170</t>
        </is>
      </c>
      <c r="C171" s="12" t="n">
        <v>46253</v>
      </c>
      <c r="D171" s="13" t="n">
        <v>0.3819444444444444</v>
      </c>
      <c r="E171" t="inlineStr">
        <is>
          <t>C-0031</t>
        </is>
      </c>
      <c r="F171" t="inlineStr">
        <is>
          <t>Cliente 31</t>
        </is>
      </c>
      <c r="G171" t="inlineStr">
        <is>
          <t>P-500</t>
        </is>
      </c>
      <c r="H171" t="inlineStr">
        <is>
          <t>Dock</t>
        </is>
      </c>
      <c r="I171" t="inlineStr">
        <is>
          <t>Tecnologia</t>
        </is>
      </c>
      <c r="J171" t="inlineStr">
        <is>
          <t>Centro</t>
        </is>
      </c>
      <c r="K171" t="inlineStr">
        <is>
          <t>SUC-03</t>
        </is>
      </c>
      <c r="L171" t="inlineStr">
        <is>
          <t>Distribuidor</t>
        </is>
      </c>
      <c r="M171" t="inlineStr">
        <is>
          <t>Cancelado</t>
        </is>
      </c>
      <c r="N171" t="inlineStr">
        <is>
          <t>Media</t>
        </is>
      </c>
      <c r="O171" t="n">
        <v>41</v>
      </c>
      <c r="P171" s="14" t="n">
        <v>11790</v>
      </c>
      <c r="Q171" s="15" t="n">
        <v>0.1</v>
      </c>
      <c r="R171" s="14" t="n">
        <v>6720.3</v>
      </c>
      <c r="S171" s="12" t="n">
        <v>46260</v>
      </c>
      <c r="T171" s="12" t="n">
        <v>46261</v>
      </c>
      <c r="U171" t="inlineStr">
        <is>
          <t>Resp 3</t>
        </is>
      </c>
      <c r="V171" t="inlineStr">
        <is>
          <t>archivo_03.csv</t>
        </is>
      </c>
      <c r="W171" s="14">
        <f>O171*P171</f>
        <v/>
      </c>
      <c r="X171" s="14">
        <f>W171*Q171</f>
        <v/>
      </c>
      <c r="Y171" s="14">
        <f>W171-X171</f>
        <v/>
      </c>
      <c r="Z171" s="14">
        <f>O171*R171</f>
        <v/>
      </c>
      <c r="AA171" s="14">
        <f>Y171-Z171</f>
        <v/>
      </c>
      <c r="AB171" s="15">
        <f>IF(Y171=0,0,AA171/Y171)</f>
        <v/>
      </c>
      <c r="AC171">
        <f>MAX(0,T171-S171)</f>
        <v/>
      </c>
      <c r="AD171">
        <f>UPPER(TRIM(J171))&amp;"|"&amp;UPPER(TRIM(B171))&amp;"|"&amp;TEXT(C171,"yyyymmdd")&amp;"|"&amp;UPPER(TRIM(G171))</f>
        <v/>
      </c>
      <c r="AE171">
        <f>COUNTIF($AD$2:$AD$241,AD171)</f>
        <v/>
      </c>
    </row>
    <row r="172">
      <c r="A172" t="n">
        <v>171</v>
      </c>
      <c r="B172" t="inlineStr">
        <is>
          <t>OP-000171</t>
        </is>
      </c>
      <c r="C172" s="12" t="n">
        <v>46260</v>
      </c>
      <c r="D172" s="13" t="n">
        <v>0.4270833333333333</v>
      </c>
      <c r="E172" t="inlineStr">
        <is>
          <t>C-0032</t>
        </is>
      </c>
      <c r="F172" t="inlineStr">
        <is>
          <t>Cliente 32</t>
        </is>
      </c>
      <c r="G172" t="inlineStr">
        <is>
          <t>P-100</t>
        </is>
      </c>
      <c r="H172" t="inlineStr">
        <is>
          <t>Monitor 24</t>
        </is>
      </c>
      <c r="I172" t="inlineStr">
        <is>
          <t>Tecnologia</t>
        </is>
      </c>
      <c r="J172" t="inlineStr">
        <is>
          <t>Sur</t>
        </is>
      </c>
      <c r="K172" t="inlineStr">
        <is>
          <t>SUC-04</t>
        </is>
      </c>
      <c r="L172" t="inlineStr">
        <is>
          <t>Digital</t>
        </is>
      </c>
      <c r="M172" t="inlineStr">
        <is>
          <t>En revision</t>
        </is>
      </c>
      <c r="N172" t="inlineStr">
        <is>
          <t>Baja</t>
        </is>
      </c>
      <c r="O172" t="n">
        <v>44</v>
      </c>
      <c r="P172" s="14" t="n">
        <v>11927</v>
      </c>
      <c r="Q172" s="15" t="n">
        <v>0.15</v>
      </c>
      <c r="R172" s="14" t="n">
        <v>6917.66</v>
      </c>
      <c r="S172" s="12" t="n">
        <v>46268</v>
      </c>
      <c r="T172" s="12" t="n">
        <v>46269</v>
      </c>
      <c r="U172" t="inlineStr">
        <is>
          <t>Resp 4</t>
        </is>
      </c>
      <c r="V172" t="inlineStr">
        <is>
          <t>archivo_04.csv</t>
        </is>
      </c>
      <c r="W172" s="14">
        <f>O172*P172</f>
        <v/>
      </c>
      <c r="X172" s="14">
        <f>W172*Q172</f>
        <v/>
      </c>
      <c r="Y172" s="14">
        <f>W172-X172</f>
        <v/>
      </c>
      <c r="Z172" s="14">
        <f>O172*R172</f>
        <v/>
      </c>
      <c r="AA172" s="14">
        <f>Y172-Z172</f>
        <v/>
      </c>
      <c r="AB172" s="15">
        <f>IF(Y172=0,0,AA172/Y172)</f>
        <v/>
      </c>
      <c r="AC172">
        <f>MAX(0,T172-S172)</f>
        <v/>
      </c>
      <c r="AD172">
        <f>UPPER(TRIM(J172))&amp;"|"&amp;UPPER(TRIM(B172))&amp;"|"&amp;TEXT(C172,"yyyymmdd")&amp;"|"&amp;UPPER(TRIM(G172))</f>
        <v/>
      </c>
      <c r="AE172">
        <f>COUNTIF($AD$2:$AD$241,AD172)</f>
        <v/>
      </c>
    </row>
    <row r="173">
      <c r="A173" t="n">
        <v>172</v>
      </c>
      <c r="B173" t="inlineStr">
        <is>
          <t>OP-000172</t>
        </is>
      </c>
      <c r="C173" s="12" t="n">
        <v>46027</v>
      </c>
      <c r="D173" s="13" t="n">
        <v>0.4722222222222222</v>
      </c>
      <c r="E173" t="inlineStr">
        <is>
          <t>C-0033</t>
        </is>
      </c>
      <c r="F173" t="inlineStr">
        <is>
          <t>Cliente 33</t>
        </is>
      </c>
      <c r="G173" t="inlineStr">
        <is>
          <t>P-200</t>
        </is>
      </c>
      <c r="H173" t="inlineStr">
        <is>
          <t>Teclado</t>
        </is>
      </c>
      <c r="I173" t="inlineStr">
        <is>
          <t>Tecnologia</t>
        </is>
      </c>
      <c r="J173" t="inlineStr">
        <is>
          <t>Pacifico</t>
        </is>
      </c>
      <c r="K173" t="inlineStr">
        <is>
          <t>SUC-05</t>
        </is>
      </c>
      <c r="L173" t="inlineStr">
        <is>
          <t>Tienda</t>
        </is>
      </c>
      <c r="M173" t="inlineStr">
        <is>
          <t>Aprobado</t>
        </is>
      </c>
      <c r="N173" t="inlineStr">
        <is>
          <t>Critica</t>
        </is>
      </c>
      <c r="O173" t="n">
        <v>47</v>
      </c>
      <c r="P173" s="14" t="n">
        <v>12064</v>
      </c>
      <c r="Q173" s="15" t="n">
        <v>0</v>
      </c>
      <c r="R173" s="14" t="n">
        <v>7117.76</v>
      </c>
      <c r="S173" s="12" t="n">
        <v>46036</v>
      </c>
      <c r="T173" s="12" t="n">
        <v>46037</v>
      </c>
      <c r="U173" t="inlineStr">
        <is>
          <t>Resp 5</t>
        </is>
      </c>
      <c r="V173" t="inlineStr">
        <is>
          <t>archivo_05.csv</t>
        </is>
      </c>
      <c r="W173" s="14">
        <f>O173*P173</f>
        <v/>
      </c>
      <c r="X173" s="14">
        <f>W173*Q173</f>
        <v/>
      </c>
      <c r="Y173" s="14">
        <f>W173-X173</f>
        <v/>
      </c>
      <c r="Z173" s="14">
        <f>O173*R173</f>
        <v/>
      </c>
      <c r="AA173" s="14">
        <f>Y173-Z173</f>
        <v/>
      </c>
      <c r="AB173" s="15">
        <f>IF(Y173=0,0,AA173/Y173)</f>
        <v/>
      </c>
      <c r="AC173">
        <f>MAX(0,T173-S173)</f>
        <v/>
      </c>
      <c r="AD173">
        <f>UPPER(TRIM(J173))&amp;"|"&amp;UPPER(TRIM(B173))&amp;"|"&amp;TEXT(C173,"yyyymmdd")&amp;"|"&amp;UPPER(TRIM(G173))</f>
        <v/>
      </c>
      <c r="AE173">
        <f>COUNTIF($AD$2:$AD$241,AD173)</f>
        <v/>
      </c>
    </row>
    <row r="174">
      <c r="A174" t="n">
        <v>173</v>
      </c>
      <c r="B174" t="inlineStr">
        <is>
          <t>OP-000173</t>
        </is>
      </c>
      <c r="C174" s="12" t="n">
        <v>46034</v>
      </c>
      <c r="D174" s="13" t="n">
        <v>0.5173611111111112</v>
      </c>
      <c r="E174" t="inlineStr">
        <is>
          <t>C-0034</t>
        </is>
      </c>
      <c r="F174" t="inlineStr">
        <is>
          <t>Cliente 34</t>
        </is>
      </c>
      <c r="G174" t="inlineStr">
        <is>
          <t>P-300</t>
        </is>
      </c>
      <c r="H174" t="inlineStr">
        <is>
          <t>Mouse</t>
        </is>
      </c>
      <c r="I174" t="inlineStr">
        <is>
          <t>Tecnologia</t>
        </is>
      </c>
      <c r="J174" t="inlineStr">
        <is>
          <t>Norte</t>
        </is>
      </c>
      <c r="K174" t="inlineStr">
        <is>
          <t>SUC-06</t>
        </is>
      </c>
      <c r="L174" t="inlineStr">
        <is>
          <t>Distribuidor</t>
        </is>
      </c>
      <c r="M174" t="inlineStr">
        <is>
          <t>Pendiente</t>
        </is>
      </c>
      <c r="N174" t="inlineStr">
        <is>
          <t>Alta</t>
        </is>
      </c>
      <c r="O174" t="n">
        <v>3</v>
      </c>
      <c r="P174" s="14" t="n">
        <v>12201</v>
      </c>
      <c r="Q174" s="15" t="n">
        <v>0.05</v>
      </c>
      <c r="R174" s="14" t="n">
        <v>7320.6</v>
      </c>
      <c r="S174" s="12" t="n">
        <v>46044</v>
      </c>
      <c r="T174" s="12" t="n">
        <v>46045</v>
      </c>
      <c r="U174" t="inlineStr">
        <is>
          <t>Resp 6</t>
        </is>
      </c>
      <c r="V174" t="inlineStr">
        <is>
          <t>archivo_06.csv</t>
        </is>
      </c>
      <c r="W174" s="14">
        <f>O174*P174</f>
        <v/>
      </c>
      <c r="X174" s="14">
        <f>W174*Q174</f>
        <v/>
      </c>
      <c r="Y174" s="14">
        <f>W174-X174</f>
        <v/>
      </c>
      <c r="Z174" s="14">
        <f>O174*R174</f>
        <v/>
      </c>
      <c r="AA174" s="14">
        <f>Y174-Z174</f>
        <v/>
      </c>
      <c r="AB174" s="15">
        <f>IF(Y174=0,0,AA174/Y174)</f>
        <v/>
      </c>
      <c r="AC174">
        <f>MAX(0,T174-S174)</f>
        <v/>
      </c>
      <c r="AD174">
        <f>UPPER(TRIM(J174))&amp;"|"&amp;UPPER(TRIM(B174))&amp;"|"&amp;TEXT(C174,"yyyymmdd")&amp;"|"&amp;UPPER(TRIM(G174))</f>
        <v/>
      </c>
      <c r="AE174">
        <f>COUNTIF($AD$2:$AD$241,AD174)</f>
        <v/>
      </c>
    </row>
    <row r="175">
      <c r="A175" t="n">
        <v>174</v>
      </c>
      <c r="B175" t="inlineStr">
        <is>
          <t>OP-000174</t>
        </is>
      </c>
      <c r="C175" s="12" t="n">
        <v>46041</v>
      </c>
      <c r="D175" s="13" t="n">
        <v>0.5625</v>
      </c>
      <c r="E175" t="inlineStr">
        <is>
          <t>C-0035</t>
        </is>
      </c>
      <c r="F175" t="inlineStr">
        <is>
          <t>Cliente 35</t>
        </is>
      </c>
      <c r="G175" t="inlineStr">
        <is>
          <t>P-400</t>
        </is>
      </c>
      <c r="H175" t="inlineStr">
        <is>
          <t>Laptop</t>
        </is>
      </c>
      <c r="I175" t="inlineStr">
        <is>
          <t>Tecnologia</t>
        </is>
      </c>
      <c r="J175" t="inlineStr">
        <is>
          <t>Centro</t>
        </is>
      </c>
      <c r="K175" t="inlineStr">
        <is>
          <t>SUC-07</t>
        </is>
      </c>
      <c r="L175" t="inlineStr">
        <is>
          <t>Digital</t>
        </is>
      </c>
      <c r="M175" t="inlineStr">
        <is>
          <t>Cancelado</t>
        </is>
      </c>
      <c r="N175" t="inlineStr">
        <is>
          <t>Media</t>
        </is>
      </c>
      <c r="O175" t="n">
        <v>6</v>
      </c>
      <c r="P175" s="14" t="n">
        <v>12338</v>
      </c>
      <c r="Q175" s="15" t="n">
        <v>0.1</v>
      </c>
      <c r="R175" s="14" t="n">
        <v>7526.18</v>
      </c>
      <c r="S175" s="12" t="n">
        <v>46052</v>
      </c>
      <c r="T175" s="12" t="n">
        <v>46053</v>
      </c>
      <c r="U175" t="inlineStr">
        <is>
          <t>Resp 7</t>
        </is>
      </c>
      <c r="V175" t="inlineStr">
        <is>
          <t>archivo_01.csv</t>
        </is>
      </c>
      <c r="W175" s="14">
        <f>O175*P175</f>
        <v/>
      </c>
      <c r="X175" s="14">
        <f>W175*Q175</f>
        <v/>
      </c>
      <c r="Y175" s="14">
        <f>W175-X175</f>
        <v/>
      </c>
      <c r="Z175" s="14">
        <f>O175*R175</f>
        <v/>
      </c>
      <c r="AA175" s="14">
        <f>Y175-Z175</f>
        <v/>
      </c>
      <c r="AB175" s="15">
        <f>IF(Y175=0,0,AA175/Y175)</f>
        <v/>
      </c>
      <c r="AC175">
        <f>MAX(0,T175-S175)</f>
        <v/>
      </c>
      <c r="AD175">
        <f>UPPER(TRIM(J175))&amp;"|"&amp;UPPER(TRIM(B175))&amp;"|"&amp;TEXT(C175,"yyyymmdd")&amp;"|"&amp;UPPER(TRIM(G175))</f>
        <v/>
      </c>
      <c r="AE175">
        <f>COUNTIF($AD$2:$AD$241,AD175)</f>
        <v/>
      </c>
    </row>
    <row r="176">
      <c r="A176" t="n">
        <v>175</v>
      </c>
      <c r="B176" t="inlineStr">
        <is>
          <t>OP-000175</t>
        </is>
      </c>
      <c r="C176" s="12" t="n">
        <v>46048</v>
      </c>
      <c r="D176" s="13" t="n">
        <v>0.6076388888888888</v>
      </c>
      <c r="E176" t="inlineStr">
        <is>
          <t>C-0001</t>
        </is>
      </c>
      <c r="F176" t="inlineStr">
        <is>
          <t>Cliente 1</t>
        </is>
      </c>
      <c r="G176" t="inlineStr">
        <is>
          <t>P-500</t>
        </is>
      </c>
      <c r="H176" t="inlineStr">
        <is>
          <t>Dock</t>
        </is>
      </c>
      <c r="I176" t="inlineStr">
        <is>
          <t>Tecnologia</t>
        </is>
      </c>
      <c r="J176" t="inlineStr">
        <is>
          <t>Sur</t>
        </is>
      </c>
      <c r="K176" t="inlineStr">
        <is>
          <t>SUC-08</t>
        </is>
      </c>
      <c r="L176" t="inlineStr">
        <is>
          <t>Tienda</t>
        </is>
      </c>
      <c r="M176" t="inlineStr">
        <is>
          <t>En revision</t>
        </is>
      </c>
      <c r="N176" t="inlineStr">
        <is>
          <t>Baja</t>
        </is>
      </c>
      <c r="O176" t="n">
        <v>9</v>
      </c>
      <c r="P176" s="14" t="n">
        <v>12475</v>
      </c>
      <c r="Q176" s="15" t="n">
        <v>0.15</v>
      </c>
      <c r="R176" s="14" t="n">
        <v>7734.5</v>
      </c>
      <c r="S176" s="12" t="n">
        <v>46060</v>
      </c>
      <c r="T176" s="12" t="n">
        <v>46061</v>
      </c>
      <c r="U176" t="inlineStr">
        <is>
          <t>Resp 8</t>
        </is>
      </c>
      <c r="V176" t="inlineStr">
        <is>
          <t>archivo_02.csv</t>
        </is>
      </c>
      <c r="W176" s="14">
        <f>O176*P176</f>
        <v/>
      </c>
      <c r="X176" s="14">
        <f>W176*Q176</f>
        <v/>
      </c>
      <c r="Y176" s="14">
        <f>W176-X176</f>
        <v/>
      </c>
      <c r="Z176" s="14">
        <f>O176*R176</f>
        <v/>
      </c>
      <c r="AA176" s="14">
        <f>Y176-Z176</f>
        <v/>
      </c>
      <c r="AB176" s="15">
        <f>IF(Y176=0,0,AA176/Y176)</f>
        <v/>
      </c>
      <c r="AC176">
        <f>MAX(0,T176-S176)</f>
        <v/>
      </c>
      <c r="AD176">
        <f>UPPER(TRIM(J176))&amp;"|"&amp;UPPER(TRIM(B176))&amp;"|"&amp;TEXT(C176,"yyyymmdd")&amp;"|"&amp;UPPER(TRIM(G176))</f>
        <v/>
      </c>
      <c r="AE176">
        <f>COUNTIF($AD$2:$AD$241,AD176)</f>
        <v/>
      </c>
    </row>
    <row r="177">
      <c r="A177" t="n">
        <v>176</v>
      </c>
      <c r="B177" t="inlineStr">
        <is>
          <t>OP-000176</t>
        </is>
      </c>
      <c r="C177" s="12" t="n">
        <v>46055</v>
      </c>
      <c r="D177" s="13" t="n">
        <v>0.6527777777777778</v>
      </c>
      <c r="E177" t="inlineStr">
        <is>
          <t>C-0002</t>
        </is>
      </c>
      <c r="F177" t="inlineStr">
        <is>
          <t>Cliente 2</t>
        </is>
      </c>
      <c r="G177" t="inlineStr">
        <is>
          <t>P-100</t>
        </is>
      </c>
      <c r="H177" t="inlineStr">
        <is>
          <t>Monitor 24</t>
        </is>
      </c>
      <c r="I177" t="inlineStr">
        <is>
          <t>Tecnologia</t>
        </is>
      </c>
      <c r="J177" t="inlineStr">
        <is>
          <t>Pacifico</t>
        </is>
      </c>
      <c r="K177" t="inlineStr">
        <is>
          <t>SUC-01</t>
        </is>
      </c>
      <c r="L177" t="inlineStr">
        <is>
          <t>Distribuidor</t>
        </is>
      </c>
      <c r="M177" t="inlineStr">
        <is>
          <t>Aprobado</t>
        </is>
      </c>
      <c r="N177" t="inlineStr">
        <is>
          <t>Critica</t>
        </is>
      </c>
      <c r="O177" t="n">
        <v>12</v>
      </c>
      <c r="P177" s="14" t="n">
        <v>612</v>
      </c>
      <c r="Q177" s="15" t="n">
        <v>0</v>
      </c>
      <c r="R177" s="14" t="n">
        <v>336.6</v>
      </c>
      <c r="S177" s="12" t="n">
        <v>46068</v>
      </c>
      <c r="T177" s="12" t="n">
        <v>46069</v>
      </c>
      <c r="U177" t="inlineStr">
        <is>
          <t>Resp 9</t>
        </is>
      </c>
      <c r="V177" t="inlineStr">
        <is>
          <t>archivo_03.csv</t>
        </is>
      </c>
      <c r="W177" s="14">
        <f>O177*P177</f>
        <v/>
      </c>
      <c r="X177" s="14">
        <f>W177*Q177</f>
        <v/>
      </c>
      <c r="Y177" s="14">
        <f>W177-X177</f>
        <v/>
      </c>
      <c r="Z177" s="14">
        <f>O177*R177</f>
        <v/>
      </c>
      <c r="AA177" s="14">
        <f>Y177-Z177</f>
        <v/>
      </c>
      <c r="AB177" s="15">
        <f>IF(Y177=0,0,AA177/Y177)</f>
        <v/>
      </c>
      <c r="AC177">
        <f>MAX(0,T177-S177)</f>
        <v/>
      </c>
      <c r="AD177">
        <f>UPPER(TRIM(J177))&amp;"|"&amp;UPPER(TRIM(B177))&amp;"|"&amp;TEXT(C177,"yyyymmdd")&amp;"|"&amp;UPPER(TRIM(G177))</f>
        <v/>
      </c>
      <c r="AE177">
        <f>COUNTIF($AD$2:$AD$241,AD177)</f>
        <v/>
      </c>
    </row>
    <row r="178">
      <c r="A178" t="n">
        <v>177</v>
      </c>
      <c r="B178" t="inlineStr">
        <is>
          <t>OP-000177</t>
        </is>
      </c>
      <c r="C178" s="12" t="n">
        <v>46062</v>
      </c>
      <c r="D178" s="13" t="n">
        <v>0.6979166666666666</v>
      </c>
      <c r="E178" t="inlineStr">
        <is>
          <t>C-0003</t>
        </is>
      </c>
      <c r="F178" t="inlineStr">
        <is>
          <t>Cliente 3</t>
        </is>
      </c>
      <c r="G178" t="inlineStr">
        <is>
          <t>P-200</t>
        </is>
      </c>
      <c r="H178" t="inlineStr">
        <is>
          <t>Teclado</t>
        </is>
      </c>
      <c r="I178" t="inlineStr">
        <is>
          <t>Tecnologia</t>
        </is>
      </c>
      <c r="J178" t="inlineStr">
        <is>
          <t>Norte</t>
        </is>
      </c>
      <c r="K178" t="inlineStr">
        <is>
          <t>SUC-02</t>
        </is>
      </c>
      <c r="L178" t="inlineStr">
        <is>
          <t>Digital</t>
        </is>
      </c>
      <c r="M178" t="inlineStr">
        <is>
          <t>Pendiente</t>
        </is>
      </c>
      <c r="N178" t="inlineStr">
        <is>
          <t>Alta</t>
        </is>
      </c>
      <c r="O178" t="n">
        <v>15</v>
      </c>
      <c r="P178" s="14" t="n">
        <v>749</v>
      </c>
      <c r="Q178" s="15" t="n">
        <v>0.05</v>
      </c>
      <c r="R178" s="14" t="n">
        <v>419.44</v>
      </c>
      <c r="S178" s="12" t="n">
        <v>46076</v>
      </c>
      <c r="T178" s="12" t="n">
        <v>46077</v>
      </c>
      <c r="U178" t="inlineStr">
        <is>
          <t>Resp 10</t>
        </is>
      </c>
      <c r="V178" t="inlineStr">
        <is>
          <t>archivo_04.csv</t>
        </is>
      </c>
      <c r="W178" s="14">
        <f>O178*P178</f>
        <v/>
      </c>
      <c r="X178" s="14">
        <f>W178*Q178</f>
        <v/>
      </c>
      <c r="Y178" s="14">
        <f>W178-X178</f>
        <v/>
      </c>
      <c r="Z178" s="14">
        <f>O178*R178</f>
        <v/>
      </c>
      <c r="AA178" s="14">
        <f>Y178-Z178</f>
        <v/>
      </c>
      <c r="AB178" s="15">
        <f>IF(Y178=0,0,AA178/Y178)</f>
        <v/>
      </c>
      <c r="AC178">
        <f>MAX(0,T178-S178)</f>
        <v/>
      </c>
      <c r="AD178">
        <f>UPPER(TRIM(J178))&amp;"|"&amp;UPPER(TRIM(B178))&amp;"|"&amp;TEXT(C178,"yyyymmdd")&amp;"|"&amp;UPPER(TRIM(G178))</f>
        <v/>
      </c>
      <c r="AE178">
        <f>COUNTIF($AD$2:$AD$241,AD178)</f>
        <v/>
      </c>
    </row>
    <row r="179">
      <c r="A179" t="n">
        <v>178</v>
      </c>
      <c r="B179" t="inlineStr">
        <is>
          <t>OP-000178</t>
        </is>
      </c>
      <c r="C179" s="12" t="n">
        <v>46069</v>
      </c>
      <c r="D179" s="13" t="n">
        <v>0.7430555555555556</v>
      </c>
      <c r="E179" t="inlineStr">
        <is>
          <t>C-0004</t>
        </is>
      </c>
      <c r="F179" t="inlineStr">
        <is>
          <t>Cliente 4</t>
        </is>
      </c>
      <c r="G179" t="inlineStr">
        <is>
          <t>P-300</t>
        </is>
      </c>
      <c r="H179" t="inlineStr">
        <is>
          <t>Mouse</t>
        </is>
      </c>
      <c r="I179" t="inlineStr">
        <is>
          <t>Tecnologia</t>
        </is>
      </c>
      <c r="J179" t="inlineStr">
        <is>
          <t>Centro</t>
        </is>
      </c>
      <c r="K179" t="inlineStr">
        <is>
          <t>SUC-03</t>
        </is>
      </c>
      <c r="L179" t="inlineStr">
        <is>
          <t>Tienda</t>
        </is>
      </c>
      <c r="M179" t="inlineStr">
        <is>
          <t>Cancelado</t>
        </is>
      </c>
      <c r="N179" t="inlineStr">
        <is>
          <t>Media</t>
        </is>
      </c>
      <c r="O179" t="n">
        <v>18</v>
      </c>
      <c r="P179" s="14" t="n">
        <v>886</v>
      </c>
      <c r="Q179" s="15" t="n">
        <v>0.1</v>
      </c>
      <c r="R179" s="14" t="n">
        <v>505.02</v>
      </c>
      <c r="S179" s="12" t="n">
        <v>46084</v>
      </c>
      <c r="T179" s="12" t="n">
        <v>46085</v>
      </c>
      <c r="U179" t="inlineStr">
        <is>
          <t>Resp 11</t>
        </is>
      </c>
      <c r="V179" t="inlineStr">
        <is>
          <t>archivo_05.csv</t>
        </is>
      </c>
      <c r="W179" s="14">
        <f>O179*P179</f>
        <v/>
      </c>
      <c r="X179" s="14">
        <f>W179*Q179</f>
        <v/>
      </c>
      <c r="Y179" s="14">
        <f>W179-X179</f>
        <v/>
      </c>
      <c r="Z179" s="14">
        <f>O179*R179</f>
        <v/>
      </c>
      <c r="AA179" s="14">
        <f>Y179-Z179</f>
        <v/>
      </c>
      <c r="AB179" s="15">
        <f>IF(Y179=0,0,AA179/Y179)</f>
        <v/>
      </c>
      <c r="AC179">
        <f>MAX(0,T179-S179)</f>
        <v/>
      </c>
      <c r="AD179">
        <f>UPPER(TRIM(J179))&amp;"|"&amp;UPPER(TRIM(B179))&amp;"|"&amp;TEXT(C179,"yyyymmdd")&amp;"|"&amp;UPPER(TRIM(G179))</f>
        <v/>
      </c>
      <c r="AE179">
        <f>COUNTIF($AD$2:$AD$241,AD179)</f>
        <v/>
      </c>
    </row>
    <row r="180">
      <c r="A180" t="n">
        <v>179</v>
      </c>
      <c r="B180" t="inlineStr">
        <is>
          <t>OP-000179</t>
        </is>
      </c>
      <c r="C180" s="12" t="n">
        <v>46076</v>
      </c>
      <c r="D180" s="13" t="n">
        <v>0.7881944444444444</v>
      </c>
      <c r="E180" t="inlineStr">
        <is>
          <t>C-0005</t>
        </is>
      </c>
      <c r="F180" t="inlineStr">
        <is>
          <t>Cliente 5</t>
        </is>
      </c>
      <c r="G180" t="inlineStr">
        <is>
          <t>P-400</t>
        </is>
      </c>
      <c r="H180" t="inlineStr">
        <is>
          <t>Laptop</t>
        </is>
      </c>
      <c r="I180" t="inlineStr">
        <is>
          <t>Tecnologia</t>
        </is>
      </c>
      <c r="J180" t="inlineStr">
        <is>
          <t>Sur</t>
        </is>
      </c>
      <c r="K180" t="inlineStr">
        <is>
          <t>SUC-04</t>
        </is>
      </c>
      <c r="L180" t="inlineStr">
        <is>
          <t>Distribuidor</t>
        </is>
      </c>
      <c r="M180" t="inlineStr">
        <is>
          <t>En revision</t>
        </is>
      </c>
      <c r="N180" t="inlineStr">
        <is>
          <t>Baja</t>
        </is>
      </c>
      <c r="O180" t="n">
        <v>21</v>
      </c>
      <c r="P180" s="14" t="n">
        <v>1023</v>
      </c>
      <c r="Q180" s="15" t="n">
        <v>0.15</v>
      </c>
      <c r="R180" s="14" t="n">
        <v>593.34</v>
      </c>
      <c r="S180" s="12" t="n">
        <v>46092</v>
      </c>
      <c r="T180" s="12" t="n">
        <v>46093</v>
      </c>
      <c r="U180" t="inlineStr">
        <is>
          <t>Resp 12</t>
        </is>
      </c>
      <c r="V180" t="inlineStr">
        <is>
          <t>archivo_06.csv</t>
        </is>
      </c>
      <c r="W180" s="14">
        <f>O180*P180</f>
        <v/>
      </c>
      <c r="X180" s="14">
        <f>W180*Q180</f>
        <v/>
      </c>
      <c r="Y180" s="14">
        <f>W180-X180</f>
        <v/>
      </c>
      <c r="Z180" s="14">
        <f>O180*R180</f>
        <v/>
      </c>
      <c r="AA180" s="14">
        <f>Y180-Z180</f>
        <v/>
      </c>
      <c r="AB180" s="15">
        <f>IF(Y180=0,0,AA180/Y180)</f>
        <v/>
      </c>
      <c r="AC180">
        <f>MAX(0,T180-S180)</f>
        <v/>
      </c>
      <c r="AD180">
        <f>UPPER(TRIM(J180))&amp;"|"&amp;UPPER(TRIM(B180))&amp;"|"&amp;TEXT(C180,"yyyymmdd")&amp;"|"&amp;UPPER(TRIM(G180))</f>
        <v/>
      </c>
      <c r="AE180">
        <f>COUNTIF($AD$2:$AD$241,AD180)</f>
        <v/>
      </c>
    </row>
    <row r="181">
      <c r="A181" t="n">
        <v>180</v>
      </c>
      <c r="B181" t="inlineStr">
        <is>
          <t>OP-000180</t>
        </is>
      </c>
      <c r="C181" s="12" t="n">
        <v>46083</v>
      </c>
      <c r="D181" s="13" t="n">
        <v>0.2916666666666667</v>
      </c>
      <c r="E181" t="inlineStr">
        <is>
          <t>C-0006</t>
        </is>
      </c>
      <c r="F181" t="inlineStr">
        <is>
          <t>Cliente 6</t>
        </is>
      </c>
      <c r="G181" t="inlineStr">
        <is>
          <t>P-500</t>
        </is>
      </c>
      <c r="H181" t="inlineStr">
        <is>
          <t>Dock</t>
        </is>
      </c>
      <c r="I181" t="inlineStr">
        <is>
          <t>Tecnologia</t>
        </is>
      </c>
      <c r="J181" t="inlineStr">
        <is>
          <t>Pacifico</t>
        </is>
      </c>
      <c r="K181" t="inlineStr">
        <is>
          <t>SUC-05</t>
        </is>
      </c>
      <c r="L181" t="inlineStr">
        <is>
          <t>Digital</t>
        </is>
      </c>
      <c r="M181" t="inlineStr">
        <is>
          <t>Aprobado</t>
        </is>
      </c>
      <c r="N181" t="inlineStr">
        <is>
          <t>Critica</t>
        </is>
      </c>
      <c r="O181" t="n">
        <v>24</v>
      </c>
      <c r="P181" s="14" t="n">
        <v>1160</v>
      </c>
      <c r="Q181" s="15" t="n">
        <v>0</v>
      </c>
      <c r="R181" s="14" t="n">
        <v>684.4</v>
      </c>
      <c r="S181" s="12" t="n">
        <v>46090</v>
      </c>
      <c r="T181" s="12" t="n">
        <v>46086</v>
      </c>
      <c r="U181" t="inlineStr">
        <is>
          <t>Resp 1</t>
        </is>
      </c>
      <c r="V181" t="inlineStr">
        <is>
          <t>archivo_01.csv</t>
        </is>
      </c>
      <c r="W181" s="14">
        <f>O181*P181</f>
        <v/>
      </c>
      <c r="X181" s="14">
        <f>W181*Q181</f>
        <v/>
      </c>
      <c r="Y181" s="14">
        <f>W181-X181</f>
        <v/>
      </c>
      <c r="Z181" s="14">
        <f>O181*R181</f>
        <v/>
      </c>
      <c r="AA181" s="14">
        <f>Y181-Z181</f>
        <v/>
      </c>
      <c r="AB181" s="15">
        <f>IF(Y181=0,0,AA181/Y181)</f>
        <v/>
      </c>
      <c r="AC181">
        <f>MAX(0,T181-S181)</f>
        <v/>
      </c>
      <c r="AD181">
        <f>UPPER(TRIM(J181))&amp;"|"&amp;UPPER(TRIM(B181))&amp;"|"&amp;TEXT(C181,"yyyymmdd")&amp;"|"&amp;UPPER(TRIM(G181))</f>
        <v/>
      </c>
      <c r="AE181">
        <f>COUNTIF($AD$2:$AD$241,AD181)</f>
        <v/>
      </c>
    </row>
    <row r="182">
      <c r="A182" t="n">
        <v>181</v>
      </c>
      <c r="B182" t="inlineStr">
        <is>
          <t>OP-000181</t>
        </is>
      </c>
      <c r="C182" s="12" t="n">
        <v>46090</v>
      </c>
      <c r="D182" s="13" t="n">
        <v>0.3368055555555556</v>
      </c>
      <c r="E182" t="inlineStr">
        <is>
          <t>C-0007</t>
        </is>
      </c>
      <c r="F182" t="inlineStr">
        <is>
          <t>Cliente 7</t>
        </is>
      </c>
      <c r="G182" t="inlineStr">
        <is>
          <t>P-100</t>
        </is>
      </c>
      <c r="H182" t="inlineStr">
        <is>
          <t>Monitor 24</t>
        </is>
      </c>
      <c r="I182" t="inlineStr">
        <is>
          <t>Tecnologia</t>
        </is>
      </c>
      <c r="J182" t="inlineStr">
        <is>
          <t>Norte</t>
        </is>
      </c>
      <c r="K182" t="inlineStr">
        <is>
          <t>SUC-06</t>
        </is>
      </c>
      <c r="L182" t="inlineStr">
        <is>
          <t>Tienda</t>
        </is>
      </c>
      <c r="M182" t="inlineStr">
        <is>
          <t>Pendiente</t>
        </is>
      </c>
      <c r="N182" t="inlineStr">
        <is>
          <t>Alta</t>
        </is>
      </c>
      <c r="O182" t="n">
        <v>27</v>
      </c>
      <c r="P182" s="14" t="n">
        <v>1297</v>
      </c>
      <c r="Q182" s="15" t="n">
        <v>0.05</v>
      </c>
      <c r="R182" s="14" t="n">
        <v>778.2</v>
      </c>
      <c r="S182" s="12" t="n">
        <v>46098</v>
      </c>
      <c r="T182" s="12" t="n">
        <v>46094</v>
      </c>
      <c r="U182" t="inlineStr">
        <is>
          <t>Resp 2</t>
        </is>
      </c>
      <c r="V182" t="inlineStr">
        <is>
          <t>archivo_02.csv</t>
        </is>
      </c>
      <c r="W182" s="14">
        <f>O182*P182</f>
        <v/>
      </c>
      <c r="X182" s="14">
        <f>W182*Q182</f>
        <v/>
      </c>
      <c r="Y182" s="14">
        <f>W182-X182</f>
        <v/>
      </c>
      <c r="Z182" s="14">
        <f>O182*R182</f>
        <v/>
      </c>
      <c r="AA182" s="14">
        <f>Y182-Z182</f>
        <v/>
      </c>
      <c r="AB182" s="15">
        <f>IF(Y182=0,0,AA182/Y182)</f>
        <v/>
      </c>
      <c r="AC182">
        <f>MAX(0,T182-S182)</f>
        <v/>
      </c>
      <c r="AD182">
        <f>UPPER(TRIM(J182))&amp;"|"&amp;UPPER(TRIM(B182))&amp;"|"&amp;TEXT(C182,"yyyymmdd")&amp;"|"&amp;UPPER(TRIM(G182))</f>
        <v/>
      </c>
      <c r="AE182">
        <f>COUNTIF($AD$2:$AD$241,AD182)</f>
        <v/>
      </c>
    </row>
    <row r="183">
      <c r="A183" t="n">
        <v>182</v>
      </c>
      <c r="B183" t="inlineStr">
        <is>
          <t>OP-000182</t>
        </is>
      </c>
      <c r="C183" s="12" t="n">
        <v>46097</v>
      </c>
      <c r="D183" s="13" t="n">
        <v>0.3819444444444444</v>
      </c>
      <c r="E183" t="inlineStr">
        <is>
          <t>C-0008</t>
        </is>
      </c>
      <c r="F183" t="inlineStr">
        <is>
          <t>Cliente 8</t>
        </is>
      </c>
      <c r="G183" t="inlineStr">
        <is>
          <t>P-200</t>
        </is>
      </c>
      <c r="H183" t="inlineStr">
        <is>
          <t>Teclado</t>
        </is>
      </c>
      <c r="I183" t="inlineStr">
        <is>
          <t>Tecnologia</t>
        </is>
      </c>
      <c r="J183" t="inlineStr">
        <is>
          <t>Centro</t>
        </is>
      </c>
      <c r="K183" t="inlineStr">
        <is>
          <t>SUC-07</t>
        </is>
      </c>
      <c r="L183" t="inlineStr">
        <is>
          <t>Distribuidor</t>
        </is>
      </c>
      <c r="M183" t="inlineStr">
        <is>
          <t>Cancelado</t>
        </is>
      </c>
      <c r="N183" t="inlineStr">
        <is>
          <t>Media</t>
        </is>
      </c>
      <c r="O183" t="n">
        <v>30</v>
      </c>
      <c r="P183" s="14" t="n">
        <v>1434</v>
      </c>
      <c r="Q183" s="15" t="n">
        <v>0.1</v>
      </c>
      <c r="R183" s="14" t="n">
        <v>874.74</v>
      </c>
      <c r="S183" s="12" t="n">
        <v>46106</v>
      </c>
      <c r="T183" s="12" t="n">
        <v>46102</v>
      </c>
      <c r="U183" t="inlineStr">
        <is>
          <t>Resp 3</t>
        </is>
      </c>
      <c r="V183" t="inlineStr">
        <is>
          <t>archivo_03.csv</t>
        </is>
      </c>
      <c r="W183" s="14">
        <f>O183*P183</f>
        <v/>
      </c>
      <c r="X183" s="14">
        <f>W183*Q183</f>
        <v/>
      </c>
      <c r="Y183" s="14">
        <f>W183-X183</f>
        <v/>
      </c>
      <c r="Z183" s="14">
        <f>O183*R183</f>
        <v/>
      </c>
      <c r="AA183" s="14">
        <f>Y183-Z183</f>
        <v/>
      </c>
      <c r="AB183" s="15">
        <f>IF(Y183=0,0,AA183/Y183)</f>
        <v/>
      </c>
      <c r="AC183">
        <f>MAX(0,T183-S183)</f>
        <v/>
      </c>
      <c r="AD183">
        <f>UPPER(TRIM(J183))&amp;"|"&amp;UPPER(TRIM(B183))&amp;"|"&amp;TEXT(C183,"yyyymmdd")&amp;"|"&amp;UPPER(TRIM(G183))</f>
        <v/>
      </c>
      <c r="AE183">
        <f>COUNTIF($AD$2:$AD$241,AD183)</f>
        <v/>
      </c>
    </row>
    <row r="184">
      <c r="A184" t="n">
        <v>183</v>
      </c>
      <c r="B184" t="inlineStr">
        <is>
          <t>OP-000183</t>
        </is>
      </c>
      <c r="C184" s="12" t="n">
        <v>46104</v>
      </c>
      <c r="D184" s="13" t="n">
        <v>0.4270833333333333</v>
      </c>
      <c r="E184" t="inlineStr">
        <is>
          <t>C-0009</t>
        </is>
      </c>
      <c r="F184" t="inlineStr">
        <is>
          <t>Cliente 9</t>
        </is>
      </c>
      <c r="G184" t="inlineStr">
        <is>
          <t>P-300</t>
        </is>
      </c>
      <c r="H184" t="inlineStr">
        <is>
          <t>Mouse</t>
        </is>
      </c>
      <c r="I184" t="inlineStr">
        <is>
          <t>Tecnologia</t>
        </is>
      </c>
      <c r="J184" t="inlineStr">
        <is>
          <t>Sur</t>
        </is>
      </c>
      <c r="K184" t="inlineStr">
        <is>
          <t>SUC-08</t>
        </is>
      </c>
      <c r="L184" t="inlineStr">
        <is>
          <t>Digital</t>
        </is>
      </c>
      <c r="M184" t="inlineStr">
        <is>
          <t>En revision</t>
        </is>
      </c>
      <c r="N184" t="inlineStr">
        <is>
          <t>Baja</t>
        </is>
      </c>
      <c r="O184" t="n">
        <v>33</v>
      </c>
      <c r="P184" s="14" t="n">
        <v>1571</v>
      </c>
      <c r="Q184" s="15" t="n">
        <v>0.15</v>
      </c>
      <c r="R184" s="14" t="n">
        <v>974.02</v>
      </c>
      <c r="S184" s="12" t="n">
        <v>46114</v>
      </c>
      <c r="T184" s="12" t="n">
        <v>46110</v>
      </c>
      <c r="U184" t="inlineStr">
        <is>
          <t>Resp 4</t>
        </is>
      </c>
      <c r="V184" t="inlineStr">
        <is>
          <t>archivo_04.csv</t>
        </is>
      </c>
      <c r="W184" s="14">
        <f>O184*P184</f>
        <v/>
      </c>
      <c r="X184" s="14">
        <f>W184*Q184</f>
        <v/>
      </c>
      <c r="Y184" s="14">
        <f>W184-X184</f>
        <v/>
      </c>
      <c r="Z184" s="14">
        <f>O184*R184</f>
        <v/>
      </c>
      <c r="AA184" s="14">
        <f>Y184-Z184</f>
        <v/>
      </c>
      <c r="AB184" s="15">
        <f>IF(Y184=0,0,AA184/Y184)</f>
        <v/>
      </c>
      <c r="AC184">
        <f>MAX(0,T184-S184)</f>
        <v/>
      </c>
      <c r="AD184">
        <f>UPPER(TRIM(J184))&amp;"|"&amp;UPPER(TRIM(B184))&amp;"|"&amp;TEXT(C184,"yyyymmdd")&amp;"|"&amp;UPPER(TRIM(G184))</f>
        <v/>
      </c>
      <c r="AE184">
        <f>COUNTIF($AD$2:$AD$241,AD184)</f>
        <v/>
      </c>
    </row>
    <row r="185">
      <c r="A185" t="n">
        <v>184</v>
      </c>
      <c r="B185" t="inlineStr">
        <is>
          <t>OP-000184</t>
        </is>
      </c>
      <c r="C185" s="12" t="n">
        <v>46111</v>
      </c>
      <c r="D185" s="13" t="n">
        <v>0.4722222222222222</v>
      </c>
      <c r="E185" t="inlineStr">
        <is>
          <t>C-0010</t>
        </is>
      </c>
      <c r="F185" t="inlineStr">
        <is>
          <t>Cliente 10</t>
        </is>
      </c>
      <c r="G185" t="inlineStr">
        <is>
          <t>P-400</t>
        </is>
      </c>
      <c r="H185" t="inlineStr">
        <is>
          <t>Laptop</t>
        </is>
      </c>
      <c r="I185" t="inlineStr">
        <is>
          <t>Tecnologia</t>
        </is>
      </c>
      <c r="J185" t="inlineStr">
        <is>
          <t>Pacifico</t>
        </is>
      </c>
      <c r="K185" t="inlineStr">
        <is>
          <t>SUC-01</t>
        </is>
      </c>
      <c r="L185" t="inlineStr">
        <is>
          <t>Tienda</t>
        </is>
      </c>
      <c r="M185" t="inlineStr">
        <is>
          <t>Aprobado</t>
        </is>
      </c>
      <c r="N185" t="inlineStr">
        <is>
          <t>Critica</t>
        </is>
      </c>
      <c r="O185" t="n">
        <v>36</v>
      </c>
      <c r="P185" s="14" t="n">
        <v>1708</v>
      </c>
      <c r="Q185" s="15" t="n">
        <v>0</v>
      </c>
      <c r="R185" s="14" t="n">
        <v>939.4</v>
      </c>
      <c r="S185" s="12" t="n">
        <v>46122</v>
      </c>
      <c r="T185" s="12" t="n">
        <v>46118</v>
      </c>
      <c r="U185" t="inlineStr">
        <is>
          <t>Resp 5</t>
        </is>
      </c>
      <c r="V185" t="inlineStr">
        <is>
          <t>archivo_05.csv</t>
        </is>
      </c>
      <c r="W185" s="14">
        <f>O185*P185</f>
        <v/>
      </c>
      <c r="X185" s="14">
        <f>W185*Q185</f>
        <v/>
      </c>
      <c r="Y185" s="14">
        <f>W185-X185</f>
        <v/>
      </c>
      <c r="Z185" s="14">
        <f>O185*R185</f>
        <v/>
      </c>
      <c r="AA185" s="14">
        <f>Y185-Z185</f>
        <v/>
      </c>
      <c r="AB185" s="15">
        <f>IF(Y185=0,0,AA185/Y185)</f>
        <v/>
      </c>
      <c r="AC185">
        <f>MAX(0,T185-S185)</f>
        <v/>
      </c>
      <c r="AD185">
        <f>UPPER(TRIM(J185))&amp;"|"&amp;UPPER(TRIM(B185))&amp;"|"&amp;TEXT(C185,"yyyymmdd")&amp;"|"&amp;UPPER(TRIM(G185))</f>
        <v/>
      </c>
      <c r="AE185">
        <f>COUNTIF($AD$2:$AD$241,AD185)</f>
        <v/>
      </c>
    </row>
    <row r="186">
      <c r="A186" t="n">
        <v>185</v>
      </c>
      <c r="B186" t="inlineStr">
        <is>
          <t>OP-000185</t>
        </is>
      </c>
      <c r="C186" s="12" t="n">
        <v>46118</v>
      </c>
      <c r="D186" s="13" t="n">
        <v>0.5173611111111112</v>
      </c>
      <c r="E186" t="inlineStr">
        <is>
          <t>C-0011</t>
        </is>
      </c>
      <c r="F186" t="inlineStr">
        <is>
          <t>Cliente 11</t>
        </is>
      </c>
      <c r="G186" t="inlineStr">
        <is>
          <t>P-500</t>
        </is>
      </c>
      <c r="H186" t="inlineStr">
        <is>
          <t>Dock</t>
        </is>
      </c>
      <c r="I186" t="inlineStr">
        <is>
          <t>Tecnologia</t>
        </is>
      </c>
      <c r="J186" t="inlineStr">
        <is>
          <t>Norte</t>
        </is>
      </c>
      <c r="K186" t="inlineStr">
        <is>
          <t>SUC-02</t>
        </is>
      </c>
      <c r="L186" t="inlineStr">
        <is>
          <t>Distribuidor</t>
        </is>
      </c>
      <c r="M186" t="inlineStr">
        <is>
          <t>Pendiente</t>
        </is>
      </c>
      <c r="N186" t="inlineStr">
        <is>
          <t>Alta</t>
        </is>
      </c>
      <c r="O186" t="n">
        <v>39</v>
      </c>
      <c r="P186" s="14" t="n">
        <v>1845</v>
      </c>
      <c r="Q186" s="15" t="n">
        <v>0.05</v>
      </c>
      <c r="R186" s="14" t="n">
        <v>1033.2</v>
      </c>
      <c r="S186" s="12" t="n">
        <v>46130</v>
      </c>
      <c r="T186" s="12" t="n">
        <v>46126</v>
      </c>
      <c r="U186" t="inlineStr">
        <is>
          <t>Resp 6</t>
        </is>
      </c>
      <c r="V186" t="inlineStr">
        <is>
          <t>archivo_06.csv</t>
        </is>
      </c>
      <c r="W186" s="14">
        <f>O186*P186</f>
        <v/>
      </c>
      <c r="X186" s="14">
        <f>W186*Q186</f>
        <v/>
      </c>
      <c r="Y186" s="14">
        <f>W186-X186</f>
        <v/>
      </c>
      <c r="Z186" s="14">
        <f>O186*R186</f>
        <v/>
      </c>
      <c r="AA186" s="14">
        <f>Y186-Z186</f>
        <v/>
      </c>
      <c r="AB186" s="15">
        <f>IF(Y186=0,0,AA186/Y186)</f>
        <v/>
      </c>
      <c r="AC186">
        <f>MAX(0,T186-S186)</f>
        <v/>
      </c>
      <c r="AD186">
        <f>UPPER(TRIM(J186))&amp;"|"&amp;UPPER(TRIM(B186))&amp;"|"&amp;TEXT(C186,"yyyymmdd")&amp;"|"&amp;UPPER(TRIM(G186))</f>
        <v/>
      </c>
      <c r="AE186">
        <f>COUNTIF($AD$2:$AD$241,AD186)</f>
        <v/>
      </c>
    </row>
    <row r="187">
      <c r="A187" t="n">
        <v>186</v>
      </c>
      <c r="B187" t="inlineStr">
        <is>
          <t>OP-000186</t>
        </is>
      </c>
      <c r="C187" s="12" t="n">
        <v>46125</v>
      </c>
      <c r="D187" s="13" t="n">
        <v>0.5625</v>
      </c>
      <c r="E187" t="inlineStr">
        <is>
          <t>C-0012</t>
        </is>
      </c>
      <c r="F187" t="inlineStr">
        <is>
          <t>Cliente 12</t>
        </is>
      </c>
      <c r="G187" t="inlineStr">
        <is>
          <t>P-100</t>
        </is>
      </c>
      <c r="H187" t="inlineStr">
        <is>
          <t>Monitor 24</t>
        </is>
      </c>
      <c r="I187" t="inlineStr">
        <is>
          <t>Tecnologia</t>
        </is>
      </c>
      <c r="J187" t="inlineStr">
        <is>
          <t>Centro</t>
        </is>
      </c>
      <c r="K187" t="inlineStr">
        <is>
          <t>SUC-03</t>
        </is>
      </c>
      <c r="L187" t="inlineStr">
        <is>
          <t>Digital</t>
        </is>
      </c>
      <c r="M187" t="inlineStr">
        <is>
          <t>Cancelado</t>
        </is>
      </c>
      <c r="N187" t="inlineStr">
        <is>
          <t>Media</t>
        </is>
      </c>
      <c r="O187" t="n">
        <v>42</v>
      </c>
      <c r="P187" s="14" t="n">
        <v>1982</v>
      </c>
      <c r="Q187" s="15" t="n">
        <v>0.1</v>
      </c>
      <c r="R187" s="14" t="n">
        <v>1129.74</v>
      </c>
      <c r="S187" s="12" t="n">
        <v>46138</v>
      </c>
      <c r="T187" s="12" t="n">
        <v>46134</v>
      </c>
      <c r="U187" t="inlineStr">
        <is>
          <t>Resp 7</t>
        </is>
      </c>
      <c r="V187" t="inlineStr">
        <is>
          <t>archivo_01.csv</t>
        </is>
      </c>
      <c r="W187" s="14">
        <f>O187*P187</f>
        <v/>
      </c>
      <c r="X187" s="14">
        <f>W187*Q187</f>
        <v/>
      </c>
      <c r="Y187" s="14">
        <f>W187-X187</f>
        <v/>
      </c>
      <c r="Z187" s="14">
        <f>O187*R187</f>
        <v/>
      </c>
      <c r="AA187" s="14">
        <f>Y187-Z187</f>
        <v/>
      </c>
      <c r="AB187" s="15">
        <f>IF(Y187=0,0,AA187/Y187)</f>
        <v/>
      </c>
      <c r="AC187">
        <f>MAX(0,T187-S187)</f>
        <v/>
      </c>
      <c r="AD187">
        <f>UPPER(TRIM(J187))&amp;"|"&amp;UPPER(TRIM(B187))&amp;"|"&amp;TEXT(C187,"yyyymmdd")&amp;"|"&amp;UPPER(TRIM(G187))</f>
        <v/>
      </c>
      <c r="AE187">
        <f>COUNTIF($AD$2:$AD$241,AD187)</f>
        <v/>
      </c>
    </row>
    <row r="188">
      <c r="A188" t="n">
        <v>187</v>
      </c>
      <c r="B188" t="inlineStr">
        <is>
          <t>OP-000187</t>
        </is>
      </c>
      <c r="C188" s="12" t="n">
        <v>46132</v>
      </c>
      <c r="D188" s="13" t="n">
        <v>0.6076388888888888</v>
      </c>
      <c r="E188" t="inlineStr">
        <is>
          <t>C-0013</t>
        </is>
      </c>
      <c r="F188" t="inlineStr">
        <is>
          <t>Cliente 13</t>
        </is>
      </c>
      <c r="G188" t="inlineStr">
        <is>
          <t>P-200</t>
        </is>
      </c>
      <c r="H188" t="inlineStr">
        <is>
          <t>Teclado</t>
        </is>
      </c>
      <c r="I188" t="inlineStr">
        <is>
          <t>Tecnologia</t>
        </is>
      </c>
      <c r="J188" t="inlineStr">
        <is>
          <t>Sur</t>
        </is>
      </c>
      <c r="K188" t="inlineStr">
        <is>
          <t>SUC-04</t>
        </is>
      </c>
      <c r="L188" t="inlineStr">
        <is>
          <t>Tienda</t>
        </is>
      </c>
      <c r="M188" t="inlineStr">
        <is>
          <t>En revision</t>
        </is>
      </c>
      <c r="N188" t="inlineStr">
        <is>
          <t>Baja</t>
        </is>
      </c>
      <c r="O188" t="n">
        <v>45</v>
      </c>
      <c r="P188" s="14" t="n">
        <v>2119</v>
      </c>
      <c r="Q188" s="15" t="n">
        <v>0.15</v>
      </c>
      <c r="R188" s="14" t="n">
        <v>1229.02</v>
      </c>
      <c r="S188" s="12" t="n">
        <v>46146</v>
      </c>
      <c r="T188" s="12" t="n">
        <v>46142</v>
      </c>
      <c r="U188" t="inlineStr">
        <is>
          <t>Resp 8</t>
        </is>
      </c>
      <c r="V188" t="inlineStr">
        <is>
          <t>archivo_02.csv</t>
        </is>
      </c>
      <c r="W188" s="14">
        <f>O188*P188</f>
        <v/>
      </c>
      <c r="X188" s="14">
        <f>W188*Q188</f>
        <v/>
      </c>
      <c r="Y188" s="14">
        <f>W188-X188</f>
        <v/>
      </c>
      <c r="Z188" s="14">
        <f>O188*R188</f>
        <v/>
      </c>
      <c r="AA188" s="14">
        <f>Y188-Z188</f>
        <v/>
      </c>
      <c r="AB188" s="15">
        <f>IF(Y188=0,0,AA188/Y188)</f>
        <v/>
      </c>
      <c r="AC188">
        <f>MAX(0,T188-S188)</f>
        <v/>
      </c>
      <c r="AD188">
        <f>UPPER(TRIM(J188))&amp;"|"&amp;UPPER(TRIM(B188))&amp;"|"&amp;TEXT(C188,"yyyymmdd")&amp;"|"&amp;UPPER(TRIM(G188))</f>
        <v/>
      </c>
      <c r="AE188">
        <f>COUNTIF($AD$2:$AD$241,AD188)</f>
        <v/>
      </c>
    </row>
    <row r="189">
      <c r="A189" t="n">
        <v>188</v>
      </c>
      <c r="B189" t="inlineStr">
        <is>
          <t>OP-000188</t>
        </is>
      </c>
      <c r="C189" s="12" t="n">
        <v>46139</v>
      </c>
      <c r="D189" s="13" t="n">
        <v>0.6527777777777778</v>
      </c>
      <c r="E189" t="inlineStr">
        <is>
          <t>C-0014</t>
        </is>
      </c>
      <c r="F189" t="inlineStr">
        <is>
          <t>Cliente 14</t>
        </is>
      </c>
      <c r="G189" t="inlineStr">
        <is>
          <t>P-300</t>
        </is>
      </c>
      <c r="H189" t="inlineStr">
        <is>
          <t>Mouse</t>
        </is>
      </c>
      <c r="I189" t="inlineStr">
        <is>
          <t>Tecnologia</t>
        </is>
      </c>
      <c r="J189" t="inlineStr">
        <is>
          <t>Pacifico</t>
        </is>
      </c>
      <c r="K189" t="inlineStr">
        <is>
          <t>SUC-05</t>
        </is>
      </c>
      <c r="L189" t="inlineStr">
        <is>
          <t>Distribuidor</t>
        </is>
      </c>
      <c r="M189" t="inlineStr">
        <is>
          <t>Aprobado</t>
        </is>
      </c>
      <c r="N189" t="inlineStr">
        <is>
          <t>Critica</t>
        </is>
      </c>
      <c r="O189" t="n">
        <v>1</v>
      </c>
      <c r="P189" s="14" t="n">
        <v>2256</v>
      </c>
      <c r="Q189" s="15" t="n">
        <v>0</v>
      </c>
      <c r="R189" s="14" t="n">
        <v>1331.04</v>
      </c>
      <c r="S189" s="12" t="n">
        <v>46154</v>
      </c>
      <c r="T189" s="12" t="n">
        <v>46150</v>
      </c>
      <c r="U189" t="inlineStr">
        <is>
          <t>Resp 9</t>
        </is>
      </c>
      <c r="V189" t="inlineStr">
        <is>
          <t>archivo_03.csv</t>
        </is>
      </c>
      <c r="W189" s="14">
        <f>O189*P189</f>
        <v/>
      </c>
      <c r="X189" s="14">
        <f>W189*Q189</f>
        <v/>
      </c>
      <c r="Y189" s="14">
        <f>W189-X189</f>
        <v/>
      </c>
      <c r="Z189" s="14">
        <f>O189*R189</f>
        <v/>
      </c>
      <c r="AA189" s="14">
        <f>Y189-Z189</f>
        <v/>
      </c>
      <c r="AB189" s="15">
        <f>IF(Y189=0,0,AA189/Y189)</f>
        <v/>
      </c>
      <c r="AC189">
        <f>MAX(0,T189-S189)</f>
        <v/>
      </c>
      <c r="AD189">
        <f>UPPER(TRIM(J189))&amp;"|"&amp;UPPER(TRIM(B189))&amp;"|"&amp;TEXT(C189,"yyyymmdd")&amp;"|"&amp;UPPER(TRIM(G189))</f>
        <v/>
      </c>
      <c r="AE189">
        <f>COUNTIF($AD$2:$AD$241,AD189)</f>
        <v/>
      </c>
    </row>
    <row r="190">
      <c r="A190" t="n">
        <v>189</v>
      </c>
      <c r="B190" t="inlineStr">
        <is>
          <t>OP-000189</t>
        </is>
      </c>
      <c r="C190" s="12" t="n">
        <v>46146</v>
      </c>
      <c r="D190" s="13" t="n">
        <v>0.6979166666666666</v>
      </c>
      <c r="E190" t="inlineStr">
        <is>
          <t>C-0015</t>
        </is>
      </c>
      <c r="F190" t="inlineStr">
        <is>
          <t>Cliente 15</t>
        </is>
      </c>
      <c r="G190" t="inlineStr">
        <is>
          <t>P-400</t>
        </is>
      </c>
      <c r="H190" t="inlineStr">
        <is>
          <t>Laptop</t>
        </is>
      </c>
      <c r="I190" t="inlineStr">
        <is>
          <t>Tecnologia</t>
        </is>
      </c>
      <c r="J190" t="inlineStr">
        <is>
          <t>Norte</t>
        </is>
      </c>
      <c r="K190" t="inlineStr">
        <is>
          <t>SUC-06</t>
        </is>
      </c>
      <c r="L190" t="inlineStr">
        <is>
          <t>Digital</t>
        </is>
      </c>
      <c r="M190" t="inlineStr">
        <is>
          <t>Pendiente</t>
        </is>
      </c>
      <c r="N190" t="inlineStr">
        <is>
          <t>Alta</t>
        </is>
      </c>
      <c r="O190" t="n">
        <v>4</v>
      </c>
      <c r="P190" s="14" t="n">
        <v>2393</v>
      </c>
      <c r="Q190" s="15" t="n">
        <v>0.05</v>
      </c>
      <c r="R190" s="14" t="n">
        <v>1435.8</v>
      </c>
      <c r="S190" s="12" t="n">
        <v>46162</v>
      </c>
      <c r="T190" s="12" t="n">
        <v>46158</v>
      </c>
      <c r="U190" t="inlineStr">
        <is>
          <t>Resp 10</t>
        </is>
      </c>
      <c r="V190" t="inlineStr">
        <is>
          <t>archivo_04.csv</t>
        </is>
      </c>
      <c r="W190" s="14">
        <f>O190*P190</f>
        <v/>
      </c>
      <c r="X190" s="14">
        <f>W190*Q190</f>
        <v/>
      </c>
      <c r="Y190" s="14">
        <f>W190-X190</f>
        <v/>
      </c>
      <c r="Z190" s="14">
        <f>O190*R190</f>
        <v/>
      </c>
      <c r="AA190" s="14">
        <f>Y190-Z190</f>
        <v/>
      </c>
      <c r="AB190" s="15">
        <f>IF(Y190=0,0,AA190/Y190)</f>
        <v/>
      </c>
      <c r="AC190">
        <f>MAX(0,T190-S190)</f>
        <v/>
      </c>
      <c r="AD190">
        <f>UPPER(TRIM(J190))&amp;"|"&amp;UPPER(TRIM(B190))&amp;"|"&amp;TEXT(C190,"yyyymmdd")&amp;"|"&amp;UPPER(TRIM(G190))</f>
        <v/>
      </c>
      <c r="AE190">
        <f>COUNTIF($AD$2:$AD$241,AD190)</f>
        <v/>
      </c>
    </row>
    <row r="191">
      <c r="A191" t="n">
        <v>190</v>
      </c>
      <c r="B191" t="inlineStr">
        <is>
          <t>OP-000190</t>
        </is>
      </c>
      <c r="C191" s="12" t="n">
        <v>46153</v>
      </c>
      <c r="D191" s="13" t="n">
        <v>0.7430555555555556</v>
      </c>
      <c r="E191" t="inlineStr">
        <is>
          <t>C-0016</t>
        </is>
      </c>
      <c r="F191" t="inlineStr">
        <is>
          <t>Cliente 16</t>
        </is>
      </c>
      <c r="G191" t="inlineStr">
        <is>
          <t>P-500</t>
        </is>
      </c>
      <c r="H191" t="inlineStr">
        <is>
          <t>Dock</t>
        </is>
      </c>
      <c r="I191" t="inlineStr">
        <is>
          <t>Tecnologia</t>
        </is>
      </c>
      <c r="J191" t="inlineStr">
        <is>
          <t>Centro</t>
        </is>
      </c>
      <c r="K191" t="inlineStr">
        <is>
          <t>SUC-07</t>
        </is>
      </c>
      <c r="L191" t="inlineStr">
        <is>
          <t>Tienda</t>
        </is>
      </c>
      <c r="M191" t="inlineStr">
        <is>
          <t>Cancelado</t>
        </is>
      </c>
      <c r="N191" t="inlineStr">
        <is>
          <t>Media</t>
        </is>
      </c>
      <c r="O191" t="n">
        <v>7</v>
      </c>
      <c r="P191" s="14" t="n">
        <v>2530</v>
      </c>
      <c r="Q191" s="15" t="n">
        <v>0.1</v>
      </c>
      <c r="R191" s="14" t="n">
        <v>1543.3</v>
      </c>
      <c r="S191" s="12" t="n">
        <v>46160</v>
      </c>
      <c r="T191" s="12" t="n">
        <v>46166</v>
      </c>
      <c r="U191" t="inlineStr">
        <is>
          <t>Resp 11</t>
        </is>
      </c>
      <c r="V191" t="inlineStr">
        <is>
          <t>archivo_05.csv</t>
        </is>
      </c>
      <c r="W191" s="14">
        <f>O191*P191</f>
        <v/>
      </c>
      <c r="X191" s="14">
        <f>W191*Q191</f>
        <v/>
      </c>
      <c r="Y191" s="14">
        <f>W191-X191</f>
        <v/>
      </c>
      <c r="Z191" s="14">
        <f>O191*R191</f>
        <v/>
      </c>
      <c r="AA191" s="14">
        <f>Y191-Z191</f>
        <v/>
      </c>
      <c r="AB191" s="15">
        <f>IF(Y191=0,0,AA191/Y191)</f>
        <v/>
      </c>
      <c r="AC191">
        <f>MAX(0,T191-S191)</f>
        <v/>
      </c>
      <c r="AD191">
        <f>UPPER(TRIM(J191))&amp;"|"&amp;UPPER(TRIM(B191))&amp;"|"&amp;TEXT(C191,"yyyymmdd")&amp;"|"&amp;UPPER(TRIM(G191))</f>
        <v/>
      </c>
      <c r="AE191">
        <f>COUNTIF($AD$2:$AD$241,AD191)</f>
        <v/>
      </c>
    </row>
    <row r="192">
      <c r="A192" t="n">
        <v>191</v>
      </c>
      <c r="B192" t="inlineStr">
        <is>
          <t>OP-000191</t>
        </is>
      </c>
      <c r="C192" s="12" t="n">
        <v>46160</v>
      </c>
      <c r="D192" s="13" t="n">
        <v>0.7881944444444444</v>
      </c>
      <c r="E192" t="inlineStr">
        <is>
          <t>C-0017</t>
        </is>
      </c>
      <c r="F192" t="inlineStr">
        <is>
          <t>Cliente 17</t>
        </is>
      </c>
      <c r="G192" t="inlineStr">
        <is>
          <t>P-100</t>
        </is>
      </c>
      <c r="H192" t="inlineStr">
        <is>
          <t>Monitor 24</t>
        </is>
      </c>
      <c r="I192" t="inlineStr">
        <is>
          <t>Tecnologia</t>
        </is>
      </c>
      <c r="J192" t="inlineStr">
        <is>
          <t>Sur</t>
        </is>
      </c>
      <c r="K192" t="inlineStr">
        <is>
          <t>SUC-08</t>
        </is>
      </c>
      <c r="L192" t="inlineStr">
        <is>
          <t>Distribuidor</t>
        </is>
      </c>
      <c r="M192" t="inlineStr">
        <is>
          <t>En revision</t>
        </is>
      </c>
      <c r="N192" t="inlineStr">
        <is>
          <t>Baja</t>
        </is>
      </c>
      <c r="O192" t="n">
        <v>10</v>
      </c>
      <c r="P192" s="14" t="n">
        <v>2667</v>
      </c>
      <c r="Q192" s="15" t="n">
        <v>0.15</v>
      </c>
      <c r="R192" s="14" t="n">
        <v>1653.54</v>
      </c>
      <c r="S192" s="12" t="n">
        <v>46168</v>
      </c>
      <c r="T192" s="12" t="n">
        <v>46174</v>
      </c>
      <c r="U192" t="inlineStr">
        <is>
          <t>Resp 12</t>
        </is>
      </c>
      <c r="V192" t="inlineStr">
        <is>
          <t>archivo_06.csv</t>
        </is>
      </c>
      <c r="W192" s="14">
        <f>O192*P192</f>
        <v/>
      </c>
      <c r="X192" s="14">
        <f>W192*Q192</f>
        <v/>
      </c>
      <c r="Y192" s="14">
        <f>W192-X192</f>
        <v/>
      </c>
      <c r="Z192" s="14">
        <f>O192*R192</f>
        <v/>
      </c>
      <c r="AA192" s="14">
        <f>Y192-Z192</f>
        <v/>
      </c>
      <c r="AB192" s="15">
        <f>IF(Y192=0,0,AA192/Y192)</f>
        <v/>
      </c>
      <c r="AC192">
        <f>MAX(0,T192-S192)</f>
        <v/>
      </c>
      <c r="AD192">
        <f>UPPER(TRIM(J192))&amp;"|"&amp;UPPER(TRIM(B192))&amp;"|"&amp;TEXT(C192,"yyyymmdd")&amp;"|"&amp;UPPER(TRIM(G192))</f>
        <v/>
      </c>
      <c r="AE192">
        <f>COUNTIF($AD$2:$AD$241,AD192)</f>
        <v/>
      </c>
    </row>
    <row r="193">
      <c r="A193" t="n">
        <v>192</v>
      </c>
      <c r="B193" t="inlineStr">
        <is>
          <t>OP-000192</t>
        </is>
      </c>
      <c r="C193" s="12" t="n">
        <v>46167</v>
      </c>
      <c r="D193" s="13" t="n">
        <v>0.2916666666666667</v>
      </c>
      <c r="E193" t="inlineStr">
        <is>
          <t>C-0018</t>
        </is>
      </c>
      <c r="F193" t="inlineStr">
        <is>
          <t>Cliente 18</t>
        </is>
      </c>
      <c r="G193" t="inlineStr">
        <is>
          <t>P-200</t>
        </is>
      </c>
      <c r="H193" t="inlineStr">
        <is>
          <t>Teclado</t>
        </is>
      </c>
      <c r="I193" t="inlineStr">
        <is>
          <t>Tecnologia</t>
        </is>
      </c>
      <c r="J193" t="inlineStr">
        <is>
          <t>Pacifico</t>
        </is>
      </c>
      <c r="K193" t="inlineStr">
        <is>
          <t>SUC-01</t>
        </is>
      </c>
      <c r="L193" t="inlineStr">
        <is>
          <t>Digital</t>
        </is>
      </c>
      <c r="M193" t="inlineStr">
        <is>
          <t>Aprobado</t>
        </is>
      </c>
      <c r="N193" t="inlineStr">
        <is>
          <t>Critica</t>
        </is>
      </c>
      <c r="O193" t="n">
        <v>13</v>
      </c>
      <c r="P193" s="14" t="n">
        <v>2804</v>
      </c>
      <c r="Q193" s="15" t="n">
        <v>0</v>
      </c>
      <c r="R193" s="14" t="n">
        <v>1542.2</v>
      </c>
      <c r="S193" s="12" t="n">
        <v>46176</v>
      </c>
      <c r="T193" s="12" t="n">
        <v>46182</v>
      </c>
      <c r="U193" t="inlineStr">
        <is>
          <t>Resp 1</t>
        </is>
      </c>
      <c r="V193" t="inlineStr">
        <is>
          <t>archivo_01.csv</t>
        </is>
      </c>
      <c r="W193" s="14">
        <f>O193*P193</f>
        <v/>
      </c>
      <c r="X193" s="14">
        <f>W193*Q193</f>
        <v/>
      </c>
      <c r="Y193" s="14">
        <f>W193-X193</f>
        <v/>
      </c>
      <c r="Z193" s="14">
        <f>O193*R193</f>
        <v/>
      </c>
      <c r="AA193" s="14">
        <f>Y193-Z193</f>
        <v/>
      </c>
      <c r="AB193" s="15">
        <f>IF(Y193=0,0,AA193/Y193)</f>
        <v/>
      </c>
      <c r="AC193">
        <f>MAX(0,T193-S193)</f>
        <v/>
      </c>
      <c r="AD193">
        <f>UPPER(TRIM(J193))&amp;"|"&amp;UPPER(TRIM(B193))&amp;"|"&amp;TEXT(C193,"yyyymmdd")&amp;"|"&amp;UPPER(TRIM(G193))</f>
        <v/>
      </c>
      <c r="AE193">
        <f>COUNTIF($AD$2:$AD$241,AD193)</f>
        <v/>
      </c>
    </row>
    <row r="194">
      <c r="A194" t="n">
        <v>193</v>
      </c>
      <c r="B194" t="inlineStr">
        <is>
          <t>OP-000193</t>
        </is>
      </c>
      <c r="C194" s="12" t="n">
        <v>46174</v>
      </c>
      <c r="D194" s="13" t="n">
        <v>0.3368055555555556</v>
      </c>
      <c r="E194" t="inlineStr">
        <is>
          <t>C-0019</t>
        </is>
      </c>
      <c r="F194" t="inlineStr">
        <is>
          <t>Cliente 19</t>
        </is>
      </c>
      <c r="G194" t="inlineStr">
        <is>
          <t>P-300</t>
        </is>
      </c>
      <c r="H194" t="inlineStr">
        <is>
          <t>Mouse</t>
        </is>
      </c>
      <c r="I194" t="inlineStr">
        <is>
          <t>Tecnologia</t>
        </is>
      </c>
      <c r="J194" t="inlineStr">
        <is>
          <t>Norte</t>
        </is>
      </c>
      <c r="K194" t="inlineStr">
        <is>
          <t>SUC-02</t>
        </is>
      </c>
      <c r="L194" t="inlineStr">
        <is>
          <t>Tienda</t>
        </is>
      </c>
      <c r="M194" t="inlineStr">
        <is>
          <t>Pendiente</t>
        </is>
      </c>
      <c r="N194" t="inlineStr">
        <is>
          <t>Alta</t>
        </is>
      </c>
      <c r="O194" t="n">
        <v>16</v>
      </c>
      <c r="P194" s="14" t="n">
        <v>2941</v>
      </c>
      <c r="Q194" s="15" t="n">
        <v>0.05</v>
      </c>
      <c r="R194" s="14" t="n">
        <v>1646.96</v>
      </c>
      <c r="S194" s="12" t="n">
        <v>46184</v>
      </c>
      <c r="T194" s="12" t="n">
        <v>46190</v>
      </c>
      <c r="U194" t="inlineStr">
        <is>
          <t>Resp 2</t>
        </is>
      </c>
      <c r="V194" t="inlineStr">
        <is>
          <t>archivo_02.csv</t>
        </is>
      </c>
      <c r="W194" s="14">
        <f>O194*P194</f>
        <v/>
      </c>
      <c r="X194" s="14">
        <f>W194*Q194</f>
        <v/>
      </c>
      <c r="Y194" s="14">
        <f>W194-X194</f>
        <v/>
      </c>
      <c r="Z194" s="14">
        <f>O194*R194</f>
        <v/>
      </c>
      <c r="AA194" s="14">
        <f>Y194-Z194</f>
        <v/>
      </c>
      <c r="AB194" s="15">
        <f>IF(Y194=0,0,AA194/Y194)</f>
        <v/>
      </c>
      <c r="AC194">
        <f>MAX(0,T194-S194)</f>
        <v/>
      </c>
      <c r="AD194">
        <f>UPPER(TRIM(J194))&amp;"|"&amp;UPPER(TRIM(B194))&amp;"|"&amp;TEXT(C194,"yyyymmdd")&amp;"|"&amp;UPPER(TRIM(G194))</f>
        <v/>
      </c>
      <c r="AE194">
        <f>COUNTIF($AD$2:$AD$241,AD194)</f>
        <v/>
      </c>
    </row>
    <row r="195">
      <c r="A195" t="n">
        <v>194</v>
      </c>
      <c r="B195" t="inlineStr">
        <is>
          <t>OP-000194</t>
        </is>
      </c>
      <c r="C195" s="12" t="n">
        <v>46181</v>
      </c>
      <c r="D195" s="13" t="n">
        <v>0.3819444444444444</v>
      </c>
      <c r="E195" t="inlineStr">
        <is>
          <t>C-0020</t>
        </is>
      </c>
      <c r="F195" t="inlineStr">
        <is>
          <t>Cliente 20</t>
        </is>
      </c>
      <c r="G195" t="inlineStr">
        <is>
          <t>P-400</t>
        </is>
      </c>
      <c r="H195" t="inlineStr">
        <is>
          <t>Laptop</t>
        </is>
      </c>
      <c r="I195" t="inlineStr">
        <is>
          <t>Tecnologia</t>
        </is>
      </c>
      <c r="J195" t="inlineStr">
        <is>
          <t>Centro</t>
        </is>
      </c>
      <c r="K195" t="inlineStr">
        <is>
          <t>SUC-03</t>
        </is>
      </c>
      <c r="L195" t="inlineStr">
        <is>
          <t>Distribuidor</t>
        </is>
      </c>
      <c r="M195" t="inlineStr">
        <is>
          <t>Cancelado</t>
        </is>
      </c>
      <c r="N195" t="inlineStr">
        <is>
          <t>Media</t>
        </is>
      </c>
      <c r="O195" t="n">
        <v>19</v>
      </c>
      <c r="P195" s="14" t="n">
        <v>3078</v>
      </c>
      <c r="Q195" s="15" t="n">
        <v>0.1</v>
      </c>
      <c r="R195" s="14" t="n">
        <v>1754.46</v>
      </c>
      <c r="S195" s="12" t="n">
        <v>46192</v>
      </c>
      <c r="T195" s="12" t="n">
        <v>46198</v>
      </c>
      <c r="U195" t="inlineStr">
        <is>
          <t>Resp 3</t>
        </is>
      </c>
      <c r="V195" t="inlineStr">
        <is>
          <t>archivo_03.csv</t>
        </is>
      </c>
      <c r="W195" s="14">
        <f>O195*P195</f>
        <v/>
      </c>
      <c r="X195" s="14">
        <f>W195*Q195</f>
        <v/>
      </c>
      <c r="Y195" s="14">
        <f>W195-X195</f>
        <v/>
      </c>
      <c r="Z195" s="14">
        <f>O195*R195</f>
        <v/>
      </c>
      <c r="AA195" s="14">
        <f>Y195-Z195</f>
        <v/>
      </c>
      <c r="AB195" s="15">
        <f>IF(Y195=0,0,AA195/Y195)</f>
        <v/>
      </c>
      <c r="AC195">
        <f>MAX(0,T195-S195)</f>
        <v/>
      </c>
      <c r="AD195">
        <f>UPPER(TRIM(J195))&amp;"|"&amp;UPPER(TRIM(B195))&amp;"|"&amp;TEXT(C195,"yyyymmdd")&amp;"|"&amp;UPPER(TRIM(G195))</f>
        <v/>
      </c>
      <c r="AE195">
        <f>COUNTIF($AD$2:$AD$241,AD195)</f>
        <v/>
      </c>
    </row>
    <row r="196">
      <c r="A196" t="n">
        <v>195</v>
      </c>
      <c r="B196" t="inlineStr">
        <is>
          <t>OP-000195</t>
        </is>
      </c>
      <c r="C196" s="12" t="n">
        <v>46188</v>
      </c>
      <c r="D196" s="13" t="n">
        <v>0.4270833333333333</v>
      </c>
      <c r="E196" t="inlineStr">
        <is>
          <t>C-0021</t>
        </is>
      </c>
      <c r="F196" t="inlineStr">
        <is>
          <t>Cliente 21</t>
        </is>
      </c>
      <c r="G196" t="inlineStr">
        <is>
          <t>P-500</t>
        </is>
      </c>
      <c r="H196" t="inlineStr">
        <is>
          <t>Dock</t>
        </is>
      </c>
      <c r="I196" t="inlineStr">
        <is>
          <t>Tecnologia</t>
        </is>
      </c>
      <c r="J196" t="inlineStr">
        <is>
          <t>Sur</t>
        </is>
      </c>
      <c r="K196" t="inlineStr">
        <is>
          <t>SUC-04</t>
        </is>
      </c>
      <c r="L196" t="inlineStr">
        <is>
          <t>Digital</t>
        </is>
      </c>
      <c r="M196" t="inlineStr">
        <is>
          <t>En revision</t>
        </is>
      </c>
      <c r="N196" t="inlineStr">
        <is>
          <t>Baja</t>
        </is>
      </c>
      <c r="O196" t="n">
        <v>22</v>
      </c>
      <c r="P196" s="14" t="n">
        <v>3215</v>
      </c>
      <c r="Q196" s="15" t="n">
        <v>0.15</v>
      </c>
      <c r="R196" s="14" t="n">
        <v>1864.7</v>
      </c>
      <c r="S196" s="12" t="n">
        <v>46200</v>
      </c>
      <c r="T196" s="12" t="n">
        <v>46191</v>
      </c>
      <c r="U196" t="inlineStr">
        <is>
          <t>Resp 4</t>
        </is>
      </c>
      <c r="V196" t="inlineStr">
        <is>
          <t>archivo_04.csv</t>
        </is>
      </c>
      <c r="W196" s="14">
        <f>O196*P196</f>
        <v/>
      </c>
      <c r="X196" s="14">
        <f>W196*Q196</f>
        <v/>
      </c>
      <c r="Y196" s="14">
        <f>W196-X196</f>
        <v/>
      </c>
      <c r="Z196" s="14">
        <f>O196*R196</f>
        <v/>
      </c>
      <c r="AA196" s="14">
        <f>Y196-Z196</f>
        <v/>
      </c>
      <c r="AB196" s="15">
        <f>IF(Y196=0,0,AA196/Y196)</f>
        <v/>
      </c>
      <c r="AC196">
        <f>MAX(0,T196-S196)</f>
        <v/>
      </c>
      <c r="AD196">
        <f>UPPER(TRIM(J196))&amp;"|"&amp;UPPER(TRIM(B196))&amp;"|"&amp;TEXT(C196,"yyyymmdd")&amp;"|"&amp;UPPER(TRIM(G196))</f>
        <v/>
      </c>
      <c r="AE196">
        <f>COUNTIF($AD$2:$AD$241,AD196)</f>
        <v/>
      </c>
    </row>
    <row r="197">
      <c r="A197" t="n">
        <v>196</v>
      </c>
      <c r="B197" t="inlineStr">
        <is>
          <t>OP-000196</t>
        </is>
      </c>
      <c r="C197" s="12" t="n">
        <v>46195</v>
      </c>
      <c r="D197" s="13" t="n">
        <v>0.4722222222222222</v>
      </c>
      <c r="E197" t="inlineStr">
        <is>
          <t>C-0022</t>
        </is>
      </c>
      <c r="F197" t="inlineStr">
        <is>
          <t>Cliente 22</t>
        </is>
      </c>
      <c r="G197" t="inlineStr">
        <is>
          <t>P-100</t>
        </is>
      </c>
      <c r="H197" t="inlineStr">
        <is>
          <t>Monitor 24</t>
        </is>
      </c>
      <c r="I197" t="inlineStr">
        <is>
          <t>Tecnologia</t>
        </is>
      </c>
      <c r="J197" t="inlineStr">
        <is>
          <t>Pacifico</t>
        </is>
      </c>
      <c r="K197" t="inlineStr">
        <is>
          <t>SUC-05</t>
        </is>
      </c>
      <c r="L197" t="inlineStr">
        <is>
          <t>Tienda</t>
        </is>
      </c>
      <c r="M197" t="inlineStr">
        <is>
          <t>Aprobado</t>
        </is>
      </c>
      <c r="N197" t="inlineStr">
        <is>
          <t>Critica</t>
        </is>
      </c>
      <c r="O197" t="n">
        <v>25</v>
      </c>
      <c r="P197" s="14" t="n">
        <v>3352</v>
      </c>
      <c r="Q197" s="15" t="n">
        <v>0</v>
      </c>
      <c r="R197" s="14" t="n">
        <v>1977.68</v>
      </c>
      <c r="S197" s="12" t="n">
        <v>46208</v>
      </c>
      <c r="T197" s="12" t="n">
        <v>46199</v>
      </c>
      <c r="U197" t="inlineStr">
        <is>
          <t>Resp 5</t>
        </is>
      </c>
      <c r="V197" t="inlineStr">
        <is>
          <t>archivo_05.csv</t>
        </is>
      </c>
      <c r="W197" s="14">
        <f>O197*P197</f>
        <v/>
      </c>
      <c r="X197" s="14">
        <f>W197*Q197</f>
        <v/>
      </c>
      <c r="Y197" s="14">
        <f>W197-X197</f>
        <v/>
      </c>
      <c r="Z197" s="14">
        <f>O197*R197</f>
        <v/>
      </c>
      <c r="AA197" s="14">
        <f>Y197-Z197</f>
        <v/>
      </c>
      <c r="AB197" s="15">
        <f>IF(Y197=0,0,AA197/Y197)</f>
        <v/>
      </c>
      <c r="AC197">
        <f>MAX(0,T197-S197)</f>
        <v/>
      </c>
      <c r="AD197">
        <f>UPPER(TRIM(J197))&amp;"|"&amp;UPPER(TRIM(B197))&amp;"|"&amp;TEXT(C197,"yyyymmdd")&amp;"|"&amp;UPPER(TRIM(G197))</f>
        <v/>
      </c>
      <c r="AE197">
        <f>COUNTIF($AD$2:$AD$241,AD197)</f>
        <v/>
      </c>
    </row>
    <row r="198">
      <c r="A198" t="n">
        <v>197</v>
      </c>
      <c r="B198" t="inlineStr">
        <is>
          <t>OP-000197</t>
        </is>
      </c>
      <c r="C198" s="12" t="n">
        <v>46202</v>
      </c>
      <c r="D198" s="13" t="n">
        <v>0.5173611111111112</v>
      </c>
      <c r="E198" t="inlineStr">
        <is>
          <t>C-0023</t>
        </is>
      </c>
      <c r="F198" t="inlineStr">
        <is>
          <t>Cliente 23</t>
        </is>
      </c>
      <c r="G198" t="inlineStr">
        <is>
          <t>P-200</t>
        </is>
      </c>
      <c r="H198" t="inlineStr">
        <is>
          <t>Teclado</t>
        </is>
      </c>
      <c r="I198" t="inlineStr">
        <is>
          <t>Tecnologia</t>
        </is>
      </c>
      <c r="J198" t="inlineStr">
        <is>
          <t>Norte</t>
        </is>
      </c>
      <c r="K198" t="inlineStr">
        <is>
          <t>SUC-06</t>
        </is>
      </c>
      <c r="L198" t="inlineStr">
        <is>
          <t>Distribuidor</t>
        </is>
      </c>
      <c r="M198" t="inlineStr">
        <is>
          <t>Pendiente</t>
        </is>
      </c>
      <c r="N198" t="inlineStr">
        <is>
          <t>Alta</t>
        </is>
      </c>
      <c r="O198" t="n">
        <v>28</v>
      </c>
      <c r="P198" s="14" t="n">
        <v>3489</v>
      </c>
      <c r="Q198" s="15" t="n">
        <v>0.05</v>
      </c>
      <c r="R198" s="14" t="n">
        <v>2093.4</v>
      </c>
      <c r="S198" s="12" t="n">
        <v>46216</v>
      </c>
      <c r="T198" s="12" t="n">
        <v>46207</v>
      </c>
      <c r="U198" t="inlineStr">
        <is>
          <t>Resp 6</t>
        </is>
      </c>
      <c r="V198" t="inlineStr">
        <is>
          <t>archivo_06.csv</t>
        </is>
      </c>
      <c r="W198" s="14">
        <f>O198*P198</f>
        <v/>
      </c>
      <c r="X198" s="14">
        <f>W198*Q198</f>
        <v/>
      </c>
      <c r="Y198" s="14">
        <f>W198-X198</f>
        <v/>
      </c>
      <c r="Z198" s="14">
        <f>O198*R198</f>
        <v/>
      </c>
      <c r="AA198" s="14">
        <f>Y198-Z198</f>
        <v/>
      </c>
      <c r="AB198" s="15">
        <f>IF(Y198=0,0,AA198/Y198)</f>
        <v/>
      </c>
      <c r="AC198">
        <f>MAX(0,T198-S198)</f>
        <v/>
      </c>
      <c r="AD198">
        <f>UPPER(TRIM(J198))&amp;"|"&amp;UPPER(TRIM(B198))&amp;"|"&amp;TEXT(C198,"yyyymmdd")&amp;"|"&amp;UPPER(TRIM(G198))</f>
        <v/>
      </c>
      <c r="AE198">
        <f>COUNTIF($AD$2:$AD$241,AD198)</f>
        <v/>
      </c>
    </row>
    <row r="199">
      <c r="A199" t="n">
        <v>198</v>
      </c>
      <c r="B199" t="inlineStr">
        <is>
          <t>OP-000198</t>
        </is>
      </c>
      <c r="C199" s="12" t="n">
        <v>46209</v>
      </c>
      <c r="D199" s="13" t="n">
        <v>0.5625</v>
      </c>
      <c r="E199" t="inlineStr">
        <is>
          <t>C-0024</t>
        </is>
      </c>
      <c r="F199" t="inlineStr">
        <is>
          <t>Cliente 24</t>
        </is>
      </c>
      <c r="G199" t="inlineStr">
        <is>
          <t>P-300</t>
        </is>
      </c>
      <c r="H199" t="inlineStr">
        <is>
          <t>Mouse</t>
        </is>
      </c>
      <c r="I199" t="inlineStr">
        <is>
          <t>Tecnologia</t>
        </is>
      </c>
      <c r="J199" t="inlineStr">
        <is>
          <t>Centro</t>
        </is>
      </c>
      <c r="K199" t="inlineStr">
        <is>
          <t>SUC-07</t>
        </is>
      </c>
      <c r="L199" t="inlineStr">
        <is>
          <t>Digital</t>
        </is>
      </c>
      <c r="M199" t="inlineStr">
        <is>
          <t>Cancelado</t>
        </is>
      </c>
      <c r="N199" t="inlineStr">
        <is>
          <t>Media</t>
        </is>
      </c>
      <c r="O199" t="n">
        <v>31</v>
      </c>
      <c r="P199" s="14" t="n">
        <v>3626</v>
      </c>
      <c r="Q199" s="15" t="n">
        <v>0.1</v>
      </c>
      <c r="R199" s="14" t="n">
        <v>2211.86</v>
      </c>
      <c r="S199" s="12" t="n">
        <v>46224</v>
      </c>
      <c r="T199" s="12" t="n">
        <v>46215</v>
      </c>
      <c r="U199" t="inlineStr">
        <is>
          <t>Resp 7</t>
        </is>
      </c>
      <c r="V199" t="inlineStr">
        <is>
          <t>archivo_01.csv</t>
        </is>
      </c>
      <c r="W199" s="14">
        <f>O199*P199</f>
        <v/>
      </c>
      <c r="X199" s="14">
        <f>W199*Q199</f>
        <v/>
      </c>
      <c r="Y199" s="14">
        <f>W199-X199</f>
        <v/>
      </c>
      <c r="Z199" s="14">
        <f>O199*R199</f>
        <v/>
      </c>
      <c r="AA199" s="14">
        <f>Y199-Z199</f>
        <v/>
      </c>
      <c r="AB199" s="15">
        <f>IF(Y199=0,0,AA199/Y199)</f>
        <v/>
      </c>
      <c r="AC199">
        <f>MAX(0,T199-S199)</f>
        <v/>
      </c>
      <c r="AD199">
        <f>UPPER(TRIM(J199))&amp;"|"&amp;UPPER(TRIM(B199))&amp;"|"&amp;TEXT(C199,"yyyymmdd")&amp;"|"&amp;UPPER(TRIM(G199))</f>
        <v/>
      </c>
      <c r="AE199">
        <f>COUNTIF($AD$2:$AD$241,AD199)</f>
        <v/>
      </c>
    </row>
    <row r="200">
      <c r="A200" t="n">
        <v>199</v>
      </c>
      <c r="B200" t="inlineStr">
        <is>
          <t>OP-000199</t>
        </is>
      </c>
      <c r="C200" s="12" t="n">
        <v>46216</v>
      </c>
      <c r="D200" s="13" t="n">
        <v>0.6076388888888888</v>
      </c>
      <c r="E200" t="inlineStr">
        <is>
          <t>C-0025</t>
        </is>
      </c>
      <c r="F200" t="inlineStr">
        <is>
          <t>Cliente 25</t>
        </is>
      </c>
      <c r="G200" t="inlineStr">
        <is>
          <t>P-400</t>
        </is>
      </c>
      <c r="H200" t="inlineStr">
        <is>
          <t>Laptop</t>
        </is>
      </c>
      <c r="I200" t="inlineStr">
        <is>
          <t>Tecnologia</t>
        </is>
      </c>
      <c r="J200" t="inlineStr">
        <is>
          <t>Sur</t>
        </is>
      </c>
      <c r="K200" t="inlineStr">
        <is>
          <t>SUC-08</t>
        </is>
      </c>
      <c r="L200" t="inlineStr">
        <is>
          <t>Tienda</t>
        </is>
      </c>
      <c r="M200" t="inlineStr">
        <is>
          <t>En revision</t>
        </is>
      </c>
      <c r="N200" t="inlineStr">
        <is>
          <t>Baja</t>
        </is>
      </c>
      <c r="O200" t="n">
        <v>34</v>
      </c>
      <c r="P200" s="14" t="n">
        <v>3763</v>
      </c>
      <c r="Q200" s="15" t="n">
        <v>0.15</v>
      </c>
      <c r="R200" s="14" t="n">
        <v>2333.06</v>
      </c>
      <c r="S200" s="12" t="n">
        <v>46232</v>
      </c>
      <c r="T200" s="12" t="n">
        <v>46223</v>
      </c>
      <c r="U200" t="inlineStr">
        <is>
          <t>Resp 8</t>
        </is>
      </c>
      <c r="V200" t="inlineStr">
        <is>
          <t>archivo_02.csv</t>
        </is>
      </c>
      <c r="W200" s="14">
        <f>O200*P200</f>
        <v/>
      </c>
      <c r="X200" s="14">
        <f>W200*Q200</f>
        <v/>
      </c>
      <c r="Y200" s="14">
        <f>W200-X200</f>
        <v/>
      </c>
      <c r="Z200" s="14">
        <f>O200*R200</f>
        <v/>
      </c>
      <c r="AA200" s="14">
        <f>Y200-Z200</f>
        <v/>
      </c>
      <c r="AB200" s="15">
        <f>IF(Y200=0,0,AA200/Y200)</f>
        <v/>
      </c>
      <c r="AC200">
        <f>MAX(0,T200-S200)</f>
        <v/>
      </c>
      <c r="AD200">
        <f>UPPER(TRIM(J200))&amp;"|"&amp;UPPER(TRIM(B200))&amp;"|"&amp;TEXT(C200,"yyyymmdd")&amp;"|"&amp;UPPER(TRIM(G200))</f>
        <v/>
      </c>
      <c r="AE200">
        <f>COUNTIF($AD$2:$AD$241,AD200)</f>
        <v/>
      </c>
    </row>
    <row r="201">
      <c r="A201" t="n">
        <v>200</v>
      </c>
      <c r="B201" t="inlineStr">
        <is>
          <t>OP-000200</t>
        </is>
      </c>
      <c r="C201" s="12" t="n">
        <v>46223</v>
      </c>
      <c r="D201" s="13" t="n">
        <v>0.6527777777777778</v>
      </c>
      <c r="E201" t="inlineStr">
        <is>
          <t>C-0026</t>
        </is>
      </c>
      <c r="F201" t="inlineStr">
        <is>
          <t>Cliente 26</t>
        </is>
      </c>
      <c r="G201" t="inlineStr">
        <is>
          <t>P-500</t>
        </is>
      </c>
      <c r="H201" t="inlineStr">
        <is>
          <t>Dock</t>
        </is>
      </c>
      <c r="I201" t="inlineStr">
        <is>
          <t>Tecnologia</t>
        </is>
      </c>
      <c r="J201" t="inlineStr">
        <is>
          <t>Pacifico</t>
        </is>
      </c>
      <c r="K201" t="inlineStr">
        <is>
          <t>SUC-01</t>
        </is>
      </c>
      <c r="L201" t="inlineStr">
        <is>
          <t>Distribuidor</t>
        </is>
      </c>
      <c r="M201" t="inlineStr">
        <is>
          <t>Aprobado</t>
        </is>
      </c>
      <c r="N201" t="inlineStr">
        <is>
          <t>Critica</t>
        </is>
      </c>
      <c r="O201" t="n">
        <v>37</v>
      </c>
      <c r="P201" s="14" t="n">
        <v>3900</v>
      </c>
      <c r="Q201" s="15" t="n">
        <v>0</v>
      </c>
      <c r="R201" s="14" t="n">
        <v>2145</v>
      </c>
      <c r="S201" s="12" t="n">
        <v>46230</v>
      </c>
      <c r="T201" s="12" t="n">
        <v>46231</v>
      </c>
      <c r="U201" t="inlineStr">
        <is>
          <t>Resp 9</t>
        </is>
      </c>
      <c r="V201" t="inlineStr">
        <is>
          <t>archivo_03.csv</t>
        </is>
      </c>
      <c r="W201" s="14">
        <f>O201*P201</f>
        <v/>
      </c>
      <c r="X201" s="14">
        <f>W201*Q201</f>
        <v/>
      </c>
      <c r="Y201" s="14">
        <f>W201-X201</f>
        <v/>
      </c>
      <c r="Z201" s="14">
        <f>O201*R201</f>
        <v/>
      </c>
      <c r="AA201" s="14">
        <f>Y201-Z201</f>
        <v/>
      </c>
      <c r="AB201" s="15">
        <f>IF(Y201=0,0,AA201/Y201)</f>
        <v/>
      </c>
      <c r="AC201">
        <f>MAX(0,T201-S201)</f>
        <v/>
      </c>
      <c r="AD201">
        <f>UPPER(TRIM(J201))&amp;"|"&amp;UPPER(TRIM(B201))&amp;"|"&amp;TEXT(C201,"yyyymmdd")&amp;"|"&amp;UPPER(TRIM(G201))</f>
        <v/>
      </c>
      <c r="AE201">
        <f>COUNTIF($AD$2:$AD$241,AD201)</f>
        <v/>
      </c>
    </row>
    <row r="202">
      <c r="A202" t="n">
        <v>201</v>
      </c>
      <c r="B202" t="inlineStr">
        <is>
          <t>OP-000201</t>
        </is>
      </c>
      <c r="C202" s="12" t="n">
        <v>46230</v>
      </c>
      <c r="D202" s="13" t="n">
        <v>0.6979166666666666</v>
      </c>
      <c r="E202" t="inlineStr">
        <is>
          <t>C-0027</t>
        </is>
      </c>
      <c r="F202" t="inlineStr">
        <is>
          <t>Cliente 27</t>
        </is>
      </c>
      <c r="G202" t="inlineStr">
        <is>
          <t>P-100</t>
        </is>
      </c>
      <c r="H202" t="inlineStr">
        <is>
          <t>Monitor 24</t>
        </is>
      </c>
      <c r="I202" t="inlineStr">
        <is>
          <t>Tecnologia</t>
        </is>
      </c>
      <c r="J202" t="inlineStr">
        <is>
          <t>Norte</t>
        </is>
      </c>
      <c r="K202" t="inlineStr">
        <is>
          <t>SUC-02</t>
        </is>
      </c>
      <c r="L202" t="inlineStr">
        <is>
          <t>Digital</t>
        </is>
      </c>
      <c r="M202" t="inlineStr">
        <is>
          <t>Pendiente</t>
        </is>
      </c>
      <c r="N202" t="inlineStr">
        <is>
          <t>Alta</t>
        </is>
      </c>
      <c r="O202" t="n">
        <v>40</v>
      </c>
      <c r="P202" s="14" t="n">
        <v>4037</v>
      </c>
      <c r="Q202" s="15" t="n">
        <v>0.05</v>
      </c>
      <c r="R202" s="14" t="n">
        <v>2260.72</v>
      </c>
      <c r="S202" s="12" t="n">
        <v>46238</v>
      </c>
      <c r="T202" s="12" t="n">
        <v>46239</v>
      </c>
      <c r="U202" t="inlineStr">
        <is>
          <t>Resp 10</t>
        </is>
      </c>
      <c r="V202" t="inlineStr">
        <is>
          <t>archivo_04.csv</t>
        </is>
      </c>
      <c r="W202" s="14">
        <f>O202*P202</f>
        <v/>
      </c>
      <c r="X202" s="14">
        <f>W202*Q202</f>
        <v/>
      </c>
      <c r="Y202" s="14">
        <f>W202-X202</f>
        <v/>
      </c>
      <c r="Z202" s="14">
        <f>O202*R202</f>
        <v/>
      </c>
      <c r="AA202" s="14">
        <f>Y202-Z202</f>
        <v/>
      </c>
      <c r="AB202" s="15">
        <f>IF(Y202=0,0,AA202/Y202)</f>
        <v/>
      </c>
      <c r="AC202">
        <f>MAX(0,T202-S202)</f>
        <v/>
      </c>
      <c r="AD202">
        <f>UPPER(TRIM(J202))&amp;"|"&amp;UPPER(TRIM(B202))&amp;"|"&amp;TEXT(C202,"yyyymmdd")&amp;"|"&amp;UPPER(TRIM(G202))</f>
        <v/>
      </c>
      <c r="AE202">
        <f>COUNTIF($AD$2:$AD$241,AD202)</f>
        <v/>
      </c>
    </row>
    <row r="203">
      <c r="A203" t="n">
        <v>202</v>
      </c>
      <c r="B203" t="inlineStr">
        <is>
          <t>OP-000202</t>
        </is>
      </c>
      <c r="C203" s="12" t="n">
        <v>46237</v>
      </c>
      <c r="D203" s="13" t="n">
        <v>0.7430555555555556</v>
      </c>
      <c r="E203" t="inlineStr">
        <is>
          <t>C-0028</t>
        </is>
      </c>
      <c r="F203" t="inlineStr">
        <is>
          <t>Cliente 28</t>
        </is>
      </c>
      <c r="G203" t="inlineStr">
        <is>
          <t>P-200</t>
        </is>
      </c>
      <c r="H203" t="inlineStr">
        <is>
          <t>Teclado</t>
        </is>
      </c>
      <c r="I203" t="inlineStr">
        <is>
          <t>Tecnologia</t>
        </is>
      </c>
      <c r="J203" t="inlineStr">
        <is>
          <t>Centro</t>
        </is>
      </c>
      <c r="K203" t="inlineStr">
        <is>
          <t>SUC-03</t>
        </is>
      </c>
      <c r="L203" t="inlineStr">
        <is>
          <t>Tienda</t>
        </is>
      </c>
      <c r="M203" t="inlineStr">
        <is>
          <t>Cancelado</t>
        </is>
      </c>
      <c r="N203" t="inlineStr">
        <is>
          <t>Media</t>
        </is>
      </c>
      <c r="O203" t="n">
        <v>43</v>
      </c>
      <c r="P203" s="14" t="n">
        <v>4174</v>
      </c>
      <c r="Q203" s="15" t="n">
        <v>0.1</v>
      </c>
      <c r="R203" s="14" t="n">
        <v>2379.18</v>
      </c>
      <c r="S203" s="12" t="n">
        <v>46246</v>
      </c>
      <c r="T203" s="12" t="n">
        <v>46247</v>
      </c>
      <c r="U203" t="inlineStr">
        <is>
          <t>Resp 11</t>
        </is>
      </c>
      <c r="V203" t="inlineStr">
        <is>
          <t>archivo_05.csv</t>
        </is>
      </c>
      <c r="W203" s="14">
        <f>O203*P203</f>
        <v/>
      </c>
      <c r="X203" s="14">
        <f>W203*Q203</f>
        <v/>
      </c>
      <c r="Y203" s="14">
        <f>W203-X203</f>
        <v/>
      </c>
      <c r="Z203" s="14">
        <f>O203*R203</f>
        <v/>
      </c>
      <c r="AA203" s="14">
        <f>Y203-Z203</f>
        <v/>
      </c>
      <c r="AB203" s="15">
        <f>IF(Y203=0,0,AA203/Y203)</f>
        <v/>
      </c>
      <c r="AC203">
        <f>MAX(0,T203-S203)</f>
        <v/>
      </c>
      <c r="AD203">
        <f>UPPER(TRIM(J203))&amp;"|"&amp;UPPER(TRIM(B203))&amp;"|"&amp;TEXT(C203,"yyyymmdd")&amp;"|"&amp;UPPER(TRIM(G203))</f>
        <v/>
      </c>
      <c r="AE203">
        <f>COUNTIF($AD$2:$AD$241,AD203)</f>
        <v/>
      </c>
    </row>
    <row r="204">
      <c r="A204" t="n">
        <v>203</v>
      </c>
      <c r="B204" t="inlineStr">
        <is>
          <t>OP-000203</t>
        </is>
      </c>
      <c r="C204" s="12" t="n">
        <v>46244</v>
      </c>
      <c r="D204" s="13" t="n">
        <v>0.7881944444444444</v>
      </c>
      <c r="E204" t="inlineStr">
        <is>
          <t>C-0029</t>
        </is>
      </c>
      <c r="F204" t="inlineStr">
        <is>
          <t>Cliente 29</t>
        </is>
      </c>
      <c r="G204" t="inlineStr">
        <is>
          <t>P-300</t>
        </is>
      </c>
      <c r="H204" t="inlineStr">
        <is>
          <t>Mouse</t>
        </is>
      </c>
      <c r="I204" t="inlineStr">
        <is>
          <t>Tecnologia</t>
        </is>
      </c>
      <c r="J204" t="inlineStr">
        <is>
          <t>Sur</t>
        </is>
      </c>
      <c r="K204" t="inlineStr">
        <is>
          <t>SUC-04</t>
        </is>
      </c>
      <c r="L204" t="inlineStr">
        <is>
          <t>Distribuidor</t>
        </is>
      </c>
      <c r="M204" t="inlineStr">
        <is>
          <t>En revision</t>
        </is>
      </c>
      <c r="N204" t="inlineStr">
        <is>
          <t>Baja</t>
        </is>
      </c>
      <c r="O204" t="n">
        <v>46</v>
      </c>
      <c r="P204" s="14" t="n">
        <v>4311</v>
      </c>
      <c r="Q204" s="15" t="n">
        <v>0.15</v>
      </c>
      <c r="R204" s="14" t="n">
        <v>2500.38</v>
      </c>
      <c r="S204" s="12" t="n">
        <v>46254</v>
      </c>
      <c r="T204" s="12" t="n">
        <v>46255</v>
      </c>
      <c r="U204" t="inlineStr">
        <is>
          <t>Resp 12</t>
        </is>
      </c>
      <c r="V204" t="inlineStr">
        <is>
          <t>archivo_06.csv</t>
        </is>
      </c>
      <c r="W204" s="14">
        <f>O204*P204</f>
        <v/>
      </c>
      <c r="X204" s="14">
        <f>W204*Q204</f>
        <v/>
      </c>
      <c r="Y204" s="14">
        <f>W204-X204</f>
        <v/>
      </c>
      <c r="Z204" s="14">
        <f>O204*R204</f>
        <v/>
      </c>
      <c r="AA204" s="14">
        <f>Y204-Z204</f>
        <v/>
      </c>
      <c r="AB204" s="15">
        <f>IF(Y204=0,0,AA204/Y204)</f>
        <v/>
      </c>
      <c r="AC204">
        <f>MAX(0,T204-S204)</f>
        <v/>
      </c>
      <c r="AD204">
        <f>UPPER(TRIM(J204))&amp;"|"&amp;UPPER(TRIM(B204))&amp;"|"&amp;TEXT(C204,"yyyymmdd")&amp;"|"&amp;UPPER(TRIM(G204))</f>
        <v/>
      </c>
      <c r="AE204">
        <f>COUNTIF($AD$2:$AD$241,AD204)</f>
        <v/>
      </c>
    </row>
    <row r="205">
      <c r="A205" t="n">
        <v>204</v>
      </c>
      <c r="B205" t="inlineStr">
        <is>
          <t>OP-000204</t>
        </is>
      </c>
      <c r="C205" s="12" t="n">
        <v>46251</v>
      </c>
      <c r="D205" s="13" t="n">
        <v>0.2916666666666667</v>
      </c>
      <c r="E205" t="inlineStr">
        <is>
          <t>C-0030</t>
        </is>
      </c>
      <c r="F205" t="inlineStr">
        <is>
          <t>Cliente 30</t>
        </is>
      </c>
      <c r="G205" t="inlineStr">
        <is>
          <t>P-400</t>
        </is>
      </c>
      <c r="H205" t="inlineStr">
        <is>
          <t>Laptop</t>
        </is>
      </c>
      <c r="I205" t="inlineStr">
        <is>
          <t>Tecnologia</t>
        </is>
      </c>
      <c r="J205" t="inlineStr">
        <is>
          <t>Pacifico</t>
        </is>
      </c>
      <c r="K205" t="inlineStr">
        <is>
          <t>SUC-05</t>
        </is>
      </c>
      <c r="L205" t="inlineStr">
        <is>
          <t>Digital</t>
        </is>
      </c>
      <c r="M205" t="inlineStr">
        <is>
          <t>Aprobado</t>
        </is>
      </c>
      <c r="N205" t="inlineStr">
        <is>
          <t>Critica</t>
        </is>
      </c>
      <c r="O205" t="n">
        <v>2</v>
      </c>
      <c r="P205" s="14" t="n">
        <v>4448</v>
      </c>
      <c r="Q205" s="15" t="n">
        <v>0</v>
      </c>
      <c r="R205" s="14" t="n">
        <v>2624.32</v>
      </c>
      <c r="S205" s="12" t="n">
        <v>46262</v>
      </c>
      <c r="T205" s="12" t="n">
        <v>46263</v>
      </c>
      <c r="U205" t="inlineStr">
        <is>
          <t>Resp 1</t>
        </is>
      </c>
      <c r="V205" t="inlineStr">
        <is>
          <t>archivo_01.csv</t>
        </is>
      </c>
      <c r="W205" s="14">
        <f>O205*P205</f>
        <v/>
      </c>
      <c r="X205" s="14">
        <f>W205*Q205</f>
        <v/>
      </c>
      <c r="Y205" s="14">
        <f>W205-X205</f>
        <v/>
      </c>
      <c r="Z205" s="14">
        <f>O205*R205</f>
        <v/>
      </c>
      <c r="AA205" s="14">
        <f>Y205-Z205</f>
        <v/>
      </c>
      <c r="AB205" s="15">
        <f>IF(Y205=0,0,AA205/Y205)</f>
        <v/>
      </c>
      <c r="AC205">
        <f>MAX(0,T205-S205)</f>
        <v/>
      </c>
      <c r="AD205">
        <f>UPPER(TRIM(J205))&amp;"|"&amp;UPPER(TRIM(B205))&amp;"|"&amp;TEXT(C205,"yyyymmdd")&amp;"|"&amp;UPPER(TRIM(G205))</f>
        <v/>
      </c>
      <c r="AE205">
        <f>COUNTIF($AD$2:$AD$241,AD205)</f>
        <v/>
      </c>
    </row>
    <row r="206">
      <c r="A206" t="n">
        <v>205</v>
      </c>
      <c r="B206" t="inlineStr">
        <is>
          <t>OP-000205</t>
        </is>
      </c>
      <c r="C206" s="12" t="n">
        <v>46258</v>
      </c>
      <c r="D206" s="13" t="n">
        <v>0.3368055555555556</v>
      </c>
      <c r="E206" t="inlineStr">
        <is>
          <t>C-0031</t>
        </is>
      </c>
      <c r="F206" t="inlineStr">
        <is>
          <t>Cliente 31</t>
        </is>
      </c>
      <c r="G206" t="inlineStr">
        <is>
          <t>P-500</t>
        </is>
      </c>
      <c r="H206" t="inlineStr">
        <is>
          <t>Dock</t>
        </is>
      </c>
      <c r="I206" t="inlineStr">
        <is>
          <t>Tecnologia</t>
        </is>
      </c>
      <c r="J206" t="inlineStr">
        <is>
          <t>Norte</t>
        </is>
      </c>
      <c r="K206" t="inlineStr">
        <is>
          <t>SUC-06</t>
        </is>
      </c>
      <c r="L206" t="inlineStr">
        <is>
          <t>Tienda</t>
        </is>
      </c>
      <c r="M206" t="inlineStr">
        <is>
          <t>Pendiente</t>
        </is>
      </c>
      <c r="N206" t="inlineStr">
        <is>
          <t>Alta</t>
        </is>
      </c>
      <c r="O206" t="n">
        <v>5</v>
      </c>
      <c r="P206" s="14" t="n">
        <v>4585</v>
      </c>
      <c r="Q206" s="15" t="n">
        <v>0.05</v>
      </c>
      <c r="R206" s="14" t="n">
        <v>2751</v>
      </c>
      <c r="S206" s="12" t="n">
        <v>46270</v>
      </c>
      <c r="T206" s="12" t="n">
        <v>46271</v>
      </c>
      <c r="U206" t="inlineStr">
        <is>
          <t>Resp 2</t>
        </is>
      </c>
      <c r="V206" t="inlineStr">
        <is>
          <t>archivo_02.csv</t>
        </is>
      </c>
      <c r="W206" s="14">
        <f>O206*P206</f>
        <v/>
      </c>
      <c r="X206" s="14">
        <f>W206*Q206</f>
        <v/>
      </c>
      <c r="Y206" s="14">
        <f>W206-X206</f>
        <v/>
      </c>
      <c r="Z206" s="14">
        <f>O206*R206</f>
        <v/>
      </c>
      <c r="AA206" s="14">
        <f>Y206-Z206</f>
        <v/>
      </c>
      <c r="AB206" s="15">
        <f>IF(Y206=0,0,AA206/Y206)</f>
        <v/>
      </c>
      <c r="AC206">
        <f>MAX(0,T206-S206)</f>
        <v/>
      </c>
      <c r="AD206">
        <f>UPPER(TRIM(J206))&amp;"|"&amp;UPPER(TRIM(B206))&amp;"|"&amp;TEXT(C206,"yyyymmdd")&amp;"|"&amp;UPPER(TRIM(G206))</f>
        <v/>
      </c>
      <c r="AE206">
        <f>COUNTIF($AD$2:$AD$241,AD206)</f>
        <v/>
      </c>
    </row>
    <row r="207">
      <c r="A207" t="n">
        <v>206</v>
      </c>
      <c r="B207" t="inlineStr">
        <is>
          <t>OP-000206</t>
        </is>
      </c>
      <c r="C207" s="12" t="n">
        <v>46025</v>
      </c>
      <c r="D207" s="13" t="n">
        <v>0.3819444444444444</v>
      </c>
      <c r="E207" t="inlineStr">
        <is>
          <t>C-0032</t>
        </is>
      </c>
      <c r="F207" t="inlineStr">
        <is>
          <t>Cliente 32</t>
        </is>
      </c>
      <c r="G207" t="inlineStr">
        <is>
          <t>P-100</t>
        </is>
      </c>
      <c r="H207" t="inlineStr">
        <is>
          <t>Monitor 24</t>
        </is>
      </c>
      <c r="I207" t="inlineStr">
        <is>
          <t>Tecnologia</t>
        </is>
      </c>
      <c r="J207" t="inlineStr">
        <is>
          <t>Centro</t>
        </is>
      </c>
      <c r="K207" t="inlineStr">
        <is>
          <t>SUC-07</t>
        </is>
      </c>
      <c r="L207" t="inlineStr">
        <is>
          <t>Distribuidor</t>
        </is>
      </c>
      <c r="M207" t="inlineStr">
        <is>
          <t>Cancelado</t>
        </is>
      </c>
      <c r="N207" t="inlineStr">
        <is>
          <t>Media</t>
        </is>
      </c>
      <c r="O207" t="n">
        <v>8</v>
      </c>
      <c r="P207" s="14" t="n">
        <v>4722</v>
      </c>
      <c r="Q207" s="15" t="n">
        <v>0.1</v>
      </c>
      <c r="R207" s="14" t="n">
        <v>2880.42</v>
      </c>
      <c r="S207" s="12" t="n">
        <v>46038</v>
      </c>
      <c r="T207" s="12" t="n">
        <v>46039</v>
      </c>
      <c r="U207" t="inlineStr">
        <is>
          <t>Resp 3</t>
        </is>
      </c>
      <c r="V207" t="inlineStr">
        <is>
          <t>archivo_03.csv</t>
        </is>
      </c>
      <c r="W207" s="14">
        <f>O207*P207</f>
        <v/>
      </c>
      <c r="X207" s="14">
        <f>W207*Q207</f>
        <v/>
      </c>
      <c r="Y207" s="14">
        <f>W207-X207</f>
        <v/>
      </c>
      <c r="Z207" s="14">
        <f>O207*R207</f>
        <v/>
      </c>
      <c r="AA207" s="14">
        <f>Y207-Z207</f>
        <v/>
      </c>
      <c r="AB207" s="15">
        <f>IF(Y207=0,0,AA207/Y207)</f>
        <v/>
      </c>
      <c r="AC207">
        <f>MAX(0,T207-S207)</f>
        <v/>
      </c>
      <c r="AD207">
        <f>UPPER(TRIM(J207))&amp;"|"&amp;UPPER(TRIM(B207))&amp;"|"&amp;TEXT(C207,"yyyymmdd")&amp;"|"&amp;UPPER(TRIM(G207))</f>
        <v/>
      </c>
      <c r="AE207">
        <f>COUNTIF($AD$2:$AD$241,AD207)</f>
        <v/>
      </c>
    </row>
    <row r="208">
      <c r="A208" t="n">
        <v>207</v>
      </c>
      <c r="B208" t="inlineStr">
        <is>
          <t>OP-000207</t>
        </is>
      </c>
      <c r="C208" s="12" t="n">
        <v>46032</v>
      </c>
      <c r="D208" s="13" t="n">
        <v>0.4270833333333333</v>
      </c>
      <c r="E208" t="inlineStr">
        <is>
          <t>C-0033</t>
        </is>
      </c>
      <c r="F208" t="inlineStr">
        <is>
          <t>Cliente 33</t>
        </is>
      </c>
      <c r="G208" t="inlineStr">
        <is>
          <t>P-200</t>
        </is>
      </c>
      <c r="H208" t="inlineStr">
        <is>
          <t>Teclado</t>
        </is>
      </c>
      <c r="I208" t="inlineStr">
        <is>
          <t>Tecnologia</t>
        </is>
      </c>
      <c r="J208" t="inlineStr">
        <is>
          <t>Sur</t>
        </is>
      </c>
      <c r="K208" t="inlineStr">
        <is>
          <t>SUC-08</t>
        </is>
      </c>
      <c r="L208" t="inlineStr">
        <is>
          <t>Digital</t>
        </is>
      </c>
      <c r="M208" t="inlineStr">
        <is>
          <t>En revision</t>
        </is>
      </c>
      <c r="N208" t="inlineStr">
        <is>
          <t>Baja</t>
        </is>
      </c>
      <c r="O208" t="n">
        <v>11</v>
      </c>
      <c r="P208" s="14" t="n">
        <v>4859</v>
      </c>
      <c r="Q208" s="15" t="n">
        <v>0.15</v>
      </c>
      <c r="R208" s="14" t="n">
        <v>3012.58</v>
      </c>
      <c r="S208" s="12" t="n">
        <v>46046</v>
      </c>
      <c r="T208" s="12" t="n">
        <v>46047</v>
      </c>
      <c r="U208" t="inlineStr">
        <is>
          <t>Resp 4</t>
        </is>
      </c>
      <c r="V208" t="inlineStr">
        <is>
          <t>archivo_04.csv</t>
        </is>
      </c>
      <c r="W208" s="14">
        <f>O208*P208</f>
        <v/>
      </c>
      <c r="X208" s="14">
        <f>W208*Q208</f>
        <v/>
      </c>
      <c r="Y208" s="14">
        <f>W208-X208</f>
        <v/>
      </c>
      <c r="Z208" s="14">
        <f>O208*R208</f>
        <v/>
      </c>
      <c r="AA208" s="14">
        <f>Y208-Z208</f>
        <v/>
      </c>
      <c r="AB208" s="15">
        <f>IF(Y208=0,0,AA208/Y208)</f>
        <v/>
      </c>
      <c r="AC208">
        <f>MAX(0,T208-S208)</f>
        <v/>
      </c>
      <c r="AD208">
        <f>UPPER(TRIM(J208))&amp;"|"&amp;UPPER(TRIM(B208))&amp;"|"&amp;TEXT(C208,"yyyymmdd")&amp;"|"&amp;UPPER(TRIM(G208))</f>
        <v/>
      </c>
      <c r="AE208">
        <f>COUNTIF($AD$2:$AD$241,AD208)</f>
        <v/>
      </c>
    </row>
    <row r="209">
      <c r="A209" t="n">
        <v>208</v>
      </c>
      <c r="B209" t="inlineStr">
        <is>
          <t>OP-000208</t>
        </is>
      </c>
      <c r="C209" s="12" t="n">
        <v>46039</v>
      </c>
      <c r="D209" s="13" t="n">
        <v>0.4722222222222222</v>
      </c>
      <c r="E209" t="inlineStr">
        <is>
          <t>C-0034</t>
        </is>
      </c>
      <c r="F209" t="inlineStr">
        <is>
          <t>Cliente 34</t>
        </is>
      </c>
      <c r="G209" t="inlineStr">
        <is>
          <t>P-300</t>
        </is>
      </c>
      <c r="H209" t="inlineStr">
        <is>
          <t>Mouse</t>
        </is>
      </c>
      <c r="I209" t="inlineStr">
        <is>
          <t>Tecnologia</t>
        </is>
      </c>
      <c r="J209" t="inlineStr">
        <is>
          <t>Pacifico</t>
        </is>
      </c>
      <c r="K209" t="inlineStr">
        <is>
          <t>SUC-01</t>
        </is>
      </c>
      <c r="L209" t="inlineStr">
        <is>
          <t>Tienda</t>
        </is>
      </c>
      <c r="M209" t="inlineStr">
        <is>
          <t>Aprobado</t>
        </is>
      </c>
      <c r="N209" t="inlineStr">
        <is>
          <t>Critica</t>
        </is>
      </c>
      <c r="O209" t="n">
        <v>14</v>
      </c>
      <c r="P209" s="14" t="n">
        <v>4996</v>
      </c>
      <c r="Q209" s="15" t="n">
        <v>0</v>
      </c>
      <c r="R209" s="14" t="n">
        <v>2747.8</v>
      </c>
      <c r="S209" s="12" t="n">
        <v>46054</v>
      </c>
      <c r="T209" s="12" t="n">
        <v>46055</v>
      </c>
      <c r="U209" t="inlineStr">
        <is>
          <t>Resp 5</t>
        </is>
      </c>
      <c r="V209" t="inlineStr">
        <is>
          <t>archivo_05.csv</t>
        </is>
      </c>
      <c r="W209" s="14">
        <f>O209*P209</f>
        <v/>
      </c>
      <c r="X209" s="14">
        <f>W209*Q209</f>
        <v/>
      </c>
      <c r="Y209" s="14">
        <f>W209-X209</f>
        <v/>
      </c>
      <c r="Z209" s="14">
        <f>O209*R209</f>
        <v/>
      </c>
      <c r="AA209" s="14">
        <f>Y209-Z209</f>
        <v/>
      </c>
      <c r="AB209" s="15">
        <f>IF(Y209=0,0,AA209/Y209)</f>
        <v/>
      </c>
      <c r="AC209">
        <f>MAX(0,T209-S209)</f>
        <v/>
      </c>
      <c r="AD209">
        <f>UPPER(TRIM(J209))&amp;"|"&amp;UPPER(TRIM(B209))&amp;"|"&amp;TEXT(C209,"yyyymmdd")&amp;"|"&amp;UPPER(TRIM(G209))</f>
        <v/>
      </c>
      <c r="AE209">
        <f>COUNTIF($AD$2:$AD$241,AD209)</f>
        <v/>
      </c>
    </row>
    <row r="210">
      <c r="A210" t="n">
        <v>209</v>
      </c>
      <c r="B210" t="inlineStr">
        <is>
          <t>OP-000209</t>
        </is>
      </c>
      <c r="C210" s="12" t="n">
        <v>46046</v>
      </c>
      <c r="D210" s="13" t="n">
        <v>0.5173611111111112</v>
      </c>
      <c r="E210" t="inlineStr">
        <is>
          <t>C-0035</t>
        </is>
      </c>
      <c r="F210" t="inlineStr">
        <is>
          <t>Cliente 35</t>
        </is>
      </c>
      <c r="G210" t="inlineStr">
        <is>
          <t>P-400</t>
        </is>
      </c>
      <c r="H210" t="inlineStr">
        <is>
          <t>Laptop</t>
        </is>
      </c>
      <c r="I210" t="inlineStr">
        <is>
          <t>Tecnologia</t>
        </is>
      </c>
      <c r="J210" t="inlineStr">
        <is>
          <t>Norte</t>
        </is>
      </c>
      <c r="K210" t="inlineStr">
        <is>
          <t>SUC-02</t>
        </is>
      </c>
      <c r="L210" t="inlineStr">
        <is>
          <t>Distribuidor</t>
        </is>
      </c>
      <c r="M210" t="inlineStr">
        <is>
          <t>Pendiente</t>
        </is>
      </c>
      <c r="N210" t="inlineStr">
        <is>
          <t>Alta</t>
        </is>
      </c>
      <c r="O210" t="n">
        <v>17</v>
      </c>
      <c r="P210" s="14" t="n">
        <v>5133</v>
      </c>
      <c r="Q210" s="15" t="n">
        <v>0.05</v>
      </c>
      <c r="R210" s="14" t="n">
        <v>2874.48</v>
      </c>
      <c r="S210" s="12" t="n">
        <v>46062</v>
      </c>
      <c r="T210" s="12" t="n">
        <v>46063</v>
      </c>
      <c r="U210" t="inlineStr">
        <is>
          <t>Resp 6</t>
        </is>
      </c>
      <c r="V210" t="inlineStr">
        <is>
          <t>archivo_06.csv</t>
        </is>
      </c>
      <c r="W210" s="14">
        <f>O210*P210</f>
        <v/>
      </c>
      <c r="X210" s="14">
        <f>W210*Q210</f>
        <v/>
      </c>
      <c r="Y210" s="14">
        <f>W210-X210</f>
        <v/>
      </c>
      <c r="Z210" s="14">
        <f>O210*R210</f>
        <v/>
      </c>
      <c r="AA210" s="14">
        <f>Y210-Z210</f>
        <v/>
      </c>
      <c r="AB210" s="15">
        <f>IF(Y210=0,0,AA210/Y210)</f>
        <v/>
      </c>
      <c r="AC210">
        <f>MAX(0,T210-S210)</f>
        <v/>
      </c>
      <c r="AD210">
        <f>UPPER(TRIM(J210))&amp;"|"&amp;UPPER(TRIM(B210))&amp;"|"&amp;TEXT(C210,"yyyymmdd")&amp;"|"&amp;UPPER(TRIM(G210))</f>
        <v/>
      </c>
      <c r="AE210">
        <f>COUNTIF($AD$2:$AD$241,AD210)</f>
        <v/>
      </c>
    </row>
    <row r="211">
      <c r="A211" t="n">
        <v>210</v>
      </c>
      <c r="B211" t="inlineStr">
        <is>
          <t>OP-000210</t>
        </is>
      </c>
      <c r="C211" s="12" t="n">
        <v>46053</v>
      </c>
      <c r="D211" s="13" t="n">
        <v>0.5625</v>
      </c>
      <c r="E211" t="inlineStr">
        <is>
          <t>C-0001</t>
        </is>
      </c>
      <c r="F211" t="inlineStr">
        <is>
          <t>Cliente 1</t>
        </is>
      </c>
      <c r="G211" t="inlineStr">
        <is>
          <t>P-500</t>
        </is>
      </c>
      <c r="H211" t="inlineStr">
        <is>
          <t>Dock</t>
        </is>
      </c>
      <c r="I211" t="inlineStr">
        <is>
          <t>Tecnologia</t>
        </is>
      </c>
      <c r="J211" t="inlineStr">
        <is>
          <t>Centro</t>
        </is>
      </c>
      <c r="K211" t="inlineStr">
        <is>
          <t>SUC-03</t>
        </is>
      </c>
      <c r="L211" t="inlineStr">
        <is>
          <t>Digital</t>
        </is>
      </c>
      <c r="M211" t="inlineStr">
        <is>
          <t>Cancelado</t>
        </is>
      </c>
      <c r="N211" t="inlineStr">
        <is>
          <t>Media</t>
        </is>
      </c>
      <c r="O211" t="n">
        <v>20</v>
      </c>
      <c r="P211" s="14" t="n">
        <v>5270</v>
      </c>
      <c r="Q211" s="15" t="n">
        <v>0.1</v>
      </c>
      <c r="R211" s="14" t="n">
        <v>3003.9</v>
      </c>
      <c r="S211" s="12" t="n">
        <v>46060</v>
      </c>
      <c r="T211" s="12" t="n">
        <v>46056</v>
      </c>
      <c r="U211" t="inlineStr">
        <is>
          <t>Resp 7</t>
        </is>
      </c>
      <c r="V211" t="inlineStr">
        <is>
          <t>archivo_01.csv</t>
        </is>
      </c>
      <c r="W211" s="14">
        <f>O211*P211</f>
        <v/>
      </c>
      <c r="X211" s="14">
        <f>W211*Q211</f>
        <v/>
      </c>
      <c r="Y211" s="14">
        <f>W211-X211</f>
        <v/>
      </c>
      <c r="Z211" s="14">
        <f>O211*R211</f>
        <v/>
      </c>
      <c r="AA211" s="14">
        <f>Y211-Z211</f>
        <v/>
      </c>
      <c r="AB211" s="15">
        <f>IF(Y211=0,0,AA211/Y211)</f>
        <v/>
      </c>
      <c r="AC211">
        <f>MAX(0,T211-S211)</f>
        <v/>
      </c>
      <c r="AD211">
        <f>UPPER(TRIM(J211))&amp;"|"&amp;UPPER(TRIM(B211))&amp;"|"&amp;TEXT(C211,"yyyymmdd")&amp;"|"&amp;UPPER(TRIM(G211))</f>
        <v/>
      </c>
      <c r="AE211">
        <f>COUNTIF($AD$2:$AD$241,AD211)</f>
        <v/>
      </c>
    </row>
    <row r="212">
      <c r="A212" t="n">
        <v>211</v>
      </c>
      <c r="B212" t="inlineStr">
        <is>
          <t>OP-000211</t>
        </is>
      </c>
      <c r="C212" s="12" t="n">
        <v>46060</v>
      </c>
      <c r="D212" s="13" t="n">
        <v>0.6076388888888888</v>
      </c>
      <c r="E212" t="inlineStr">
        <is>
          <t>C-0002</t>
        </is>
      </c>
      <c r="F212" t="inlineStr">
        <is>
          <t>Cliente 2</t>
        </is>
      </c>
      <c r="G212" t="inlineStr">
        <is>
          <t>P-100</t>
        </is>
      </c>
      <c r="H212" t="inlineStr">
        <is>
          <t>Monitor 24</t>
        </is>
      </c>
      <c r="I212" t="inlineStr">
        <is>
          <t>Tecnologia</t>
        </is>
      </c>
      <c r="J212" t="inlineStr">
        <is>
          <t>Sur</t>
        </is>
      </c>
      <c r="K212" t="inlineStr">
        <is>
          <t>SUC-04</t>
        </is>
      </c>
      <c r="L212" t="inlineStr">
        <is>
          <t>Tienda</t>
        </is>
      </c>
      <c r="M212" t="inlineStr">
        <is>
          <t>En revision</t>
        </is>
      </c>
      <c r="N212" t="inlineStr">
        <is>
          <t>Baja</t>
        </is>
      </c>
      <c r="O212" t="n">
        <v>23</v>
      </c>
      <c r="P212" s="14" t="n">
        <v>5407</v>
      </c>
      <c r="Q212" s="15" t="n">
        <v>0.15</v>
      </c>
      <c r="R212" s="14" t="n">
        <v>3136.06</v>
      </c>
      <c r="S212" s="12" t="n">
        <v>46068</v>
      </c>
      <c r="T212" s="12" t="n">
        <v>46064</v>
      </c>
      <c r="U212" t="inlineStr">
        <is>
          <t>Resp 8</t>
        </is>
      </c>
      <c r="V212" t="inlineStr">
        <is>
          <t>archivo_02.csv</t>
        </is>
      </c>
      <c r="W212" s="14">
        <f>O212*P212</f>
        <v/>
      </c>
      <c r="X212" s="14">
        <f>W212*Q212</f>
        <v/>
      </c>
      <c r="Y212" s="14">
        <f>W212-X212</f>
        <v/>
      </c>
      <c r="Z212" s="14">
        <f>O212*R212</f>
        <v/>
      </c>
      <c r="AA212" s="14">
        <f>Y212-Z212</f>
        <v/>
      </c>
      <c r="AB212" s="15">
        <f>IF(Y212=0,0,AA212/Y212)</f>
        <v/>
      </c>
      <c r="AC212">
        <f>MAX(0,T212-S212)</f>
        <v/>
      </c>
      <c r="AD212">
        <f>UPPER(TRIM(J212))&amp;"|"&amp;UPPER(TRIM(B212))&amp;"|"&amp;TEXT(C212,"yyyymmdd")&amp;"|"&amp;UPPER(TRIM(G212))</f>
        <v/>
      </c>
      <c r="AE212">
        <f>COUNTIF($AD$2:$AD$241,AD212)</f>
        <v/>
      </c>
    </row>
    <row r="213">
      <c r="A213" t="n">
        <v>212</v>
      </c>
      <c r="B213" t="inlineStr">
        <is>
          <t>OP-000212</t>
        </is>
      </c>
      <c r="C213" s="12" t="n">
        <v>46067</v>
      </c>
      <c r="D213" s="13" t="n">
        <v>0.6527777777777778</v>
      </c>
      <c r="E213" t="inlineStr">
        <is>
          <t>C-0003</t>
        </is>
      </c>
      <c r="F213" t="inlineStr">
        <is>
          <t>Cliente 3</t>
        </is>
      </c>
      <c r="G213" t="inlineStr">
        <is>
          <t>P-200</t>
        </is>
      </c>
      <c r="H213" t="inlineStr">
        <is>
          <t>Teclado</t>
        </is>
      </c>
      <c r="I213" t="inlineStr">
        <is>
          <t>Tecnologia</t>
        </is>
      </c>
      <c r="J213" t="inlineStr">
        <is>
          <t>Pacifico</t>
        </is>
      </c>
      <c r="K213" t="inlineStr">
        <is>
          <t>SUC-05</t>
        </is>
      </c>
      <c r="L213" t="inlineStr">
        <is>
          <t>Distribuidor</t>
        </is>
      </c>
      <c r="M213" t="inlineStr">
        <is>
          <t>Aprobado</t>
        </is>
      </c>
      <c r="N213" t="inlineStr">
        <is>
          <t>Critica</t>
        </is>
      </c>
      <c r="O213" t="n">
        <v>26</v>
      </c>
      <c r="P213" s="14" t="n">
        <v>5544</v>
      </c>
      <c r="Q213" s="15" t="n">
        <v>0</v>
      </c>
      <c r="R213" s="14" t="n">
        <v>3270.96</v>
      </c>
      <c r="S213" s="12" t="n">
        <v>46076</v>
      </c>
      <c r="T213" s="12" t="n">
        <v>46072</v>
      </c>
      <c r="U213" t="inlineStr">
        <is>
          <t>Resp 9</t>
        </is>
      </c>
      <c r="V213" t="inlineStr">
        <is>
          <t>archivo_03.csv</t>
        </is>
      </c>
      <c r="W213" s="14">
        <f>O213*P213</f>
        <v/>
      </c>
      <c r="X213" s="14">
        <f>W213*Q213</f>
        <v/>
      </c>
      <c r="Y213" s="14">
        <f>W213-X213</f>
        <v/>
      </c>
      <c r="Z213" s="14">
        <f>O213*R213</f>
        <v/>
      </c>
      <c r="AA213" s="14">
        <f>Y213-Z213</f>
        <v/>
      </c>
      <c r="AB213" s="15">
        <f>IF(Y213=0,0,AA213/Y213)</f>
        <v/>
      </c>
      <c r="AC213">
        <f>MAX(0,T213-S213)</f>
        <v/>
      </c>
      <c r="AD213">
        <f>UPPER(TRIM(J213))&amp;"|"&amp;UPPER(TRIM(B213))&amp;"|"&amp;TEXT(C213,"yyyymmdd")&amp;"|"&amp;UPPER(TRIM(G213))</f>
        <v/>
      </c>
      <c r="AE213">
        <f>COUNTIF($AD$2:$AD$241,AD213)</f>
        <v/>
      </c>
    </row>
    <row r="214">
      <c r="A214" t="n">
        <v>213</v>
      </c>
      <c r="B214" t="inlineStr">
        <is>
          <t>OP-000213</t>
        </is>
      </c>
      <c r="C214" s="12" t="n">
        <v>46074</v>
      </c>
      <c r="D214" s="13" t="n">
        <v>0.6979166666666666</v>
      </c>
      <c r="E214" t="inlineStr">
        <is>
          <t>C-0004</t>
        </is>
      </c>
      <c r="F214" t="inlineStr">
        <is>
          <t>Cliente 4</t>
        </is>
      </c>
      <c r="G214" t="inlineStr">
        <is>
          <t>P-300</t>
        </is>
      </c>
      <c r="H214" t="inlineStr">
        <is>
          <t>Mouse</t>
        </is>
      </c>
      <c r="I214" t="inlineStr">
        <is>
          <t>Tecnologia</t>
        </is>
      </c>
      <c r="J214" t="inlineStr">
        <is>
          <t>Norte</t>
        </is>
      </c>
      <c r="K214" t="inlineStr">
        <is>
          <t>SUC-06</t>
        </is>
      </c>
      <c r="L214" t="inlineStr">
        <is>
          <t>Digital</t>
        </is>
      </c>
      <c r="M214" t="inlineStr">
        <is>
          <t>Pendiente</t>
        </is>
      </c>
      <c r="N214" t="inlineStr">
        <is>
          <t>Alta</t>
        </is>
      </c>
      <c r="O214" t="n">
        <v>29</v>
      </c>
      <c r="P214" s="14" t="n">
        <v>5681</v>
      </c>
      <c r="Q214" s="15" t="n">
        <v>0.05</v>
      </c>
      <c r="R214" s="14" t="n">
        <v>3408.6</v>
      </c>
      <c r="S214" s="12" t="n">
        <v>46084</v>
      </c>
      <c r="T214" s="12" t="n">
        <v>46080</v>
      </c>
      <c r="U214" t="inlineStr">
        <is>
          <t>Resp 10</t>
        </is>
      </c>
      <c r="V214" t="inlineStr">
        <is>
          <t>archivo_04.csv</t>
        </is>
      </c>
      <c r="W214" s="14">
        <f>O214*P214</f>
        <v/>
      </c>
      <c r="X214" s="14">
        <f>W214*Q214</f>
        <v/>
      </c>
      <c r="Y214" s="14">
        <f>W214-X214</f>
        <v/>
      </c>
      <c r="Z214" s="14">
        <f>O214*R214</f>
        <v/>
      </c>
      <c r="AA214" s="14">
        <f>Y214-Z214</f>
        <v/>
      </c>
      <c r="AB214" s="15">
        <f>IF(Y214=0,0,AA214/Y214)</f>
        <v/>
      </c>
      <c r="AC214">
        <f>MAX(0,T214-S214)</f>
        <v/>
      </c>
      <c r="AD214">
        <f>UPPER(TRIM(J214))&amp;"|"&amp;UPPER(TRIM(B214))&amp;"|"&amp;TEXT(C214,"yyyymmdd")&amp;"|"&amp;UPPER(TRIM(G214))</f>
        <v/>
      </c>
      <c r="AE214">
        <f>COUNTIF($AD$2:$AD$241,AD214)</f>
        <v/>
      </c>
    </row>
    <row r="215">
      <c r="A215" t="n">
        <v>214</v>
      </c>
      <c r="B215" t="inlineStr">
        <is>
          <t>OP-000214</t>
        </is>
      </c>
      <c r="C215" s="12" t="n">
        <v>46081</v>
      </c>
      <c r="D215" s="13" t="n">
        <v>0.7430555555555556</v>
      </c>
      <c r="E215" t="inlineStr">
        <is>
          <t>C-0005</t>
        </is>
      </c>
      <c r="F215" t="inlineStr">
        <is>
          <t>Cliente 5</t>
        </is>
      </c>
      <c r="G215" t="inlineStr">
        <is>
          <t>P-400</t>
        </is>
      </c>
      <c r="H215" t="inlineStr">
        <is>
          <t>Laptop</t>
        </is>
      </c>
      <c r="I215" t="inlineStr">
        <is>
          <t>Tecnologia</t>
        </is>
      </c>
      <c r="J215" t="inlineStr">
        <is>
          <t>Centro</t>
        </is>
      </c>
      <c r="K215" t="inlineStr">
        <is>
          <t>SUC-07</t>
        </is>
      </c>
      <c r="L215" t="inlineStr">
        <is>
          <t>Tienda</t>
        </is>
      </c>
      <c r="M215" t="inlineStr">
        <is>
          <t>Cancelado</t>
        </is>
      </c>
      <c r="N215" t="inlineStr">
        <is>
          <t>Media</t>
        </is>
      </c>
      <c r="O215" t="n">
        <v>32</v>
      </c>
      <c r="P215" s="14" t="n">
        <v>5818</v>
      </c>
      <c r="Q215" s="15" t="n">
        <v>0.1</v>
      </c>
      <c r="R215" s="14" t="n">
        <v>3548.98</v>
      </c>
      <c r="S215" s="12" t="n">
        <v>46092</v>
      </c>
      <c r="T215" s="12" t="n">
        <v>46088</v>
      </c>
      <c r="U215" t="inlineStr">
        <is>
          <t>Resp 11</t>
        </is>
      </c>
      <c r="V215" t="inlineStr">
        <is>
          <t>archivo_05.csv</t>
        </is>
      </c>
      <c r="W215" s="14">
        <f>O215*P215</f>
        <v/>
      </c>
      <c r="X215" s="14">
        <f>W215*Q215</f>
        <v/>
      </c>
      <c r="Y215" s="14">
        <f>W215-X215</f>
        <v/>
      </c>
      <c r="Z215" s="14">
        <f>O215*R215</f>
        <v/>
      </c>
      <c r="AA215" s="14">
        <f>Y215-Z215</f>
        <v/>
      </c>
      <c r="AB215" s="15">
        <f>IF(Y215=0,0,AA215/Y215)</f>
        <v/>
      </c>
      <c r="AC215">
        <f>MAX(0,T215-S215)</f>
        <v/>
      </c>
      <c r="AD215">
        <f>UPPER(TRIM(J215))&amp;"|"&amp;UPPER(TRIM(B215))&amp;"|"&amp;TEXT(C215,"yyyymmdd")&amp;"|"&amp;UPPER(TRIM(G215))</f>
        <v/>
      </c>
      <c r="AE215">
        <f>COUNTIF($AD$2:$AD$241,AD215)</f>
        <v/>
      </c>
    </row>
    <row r="216">
      <c r="A216" t="n">
        <v>215</v>
      </c>
      <c r="B216" t="inlineStr">
        <is>
          <t>OP-000215</t>
        </is>
      </c>
      <c r="C216" s="12" t="n">
        <v>46088</v>
      </c>
      <c r="D216" s="13" t="n">
        <v>0.7881944444444444</v>
      </c>
      <c r="E216" t="inlineStr">
        <is>
          <t>C-0006</t>
        </is>
      </c>
      <c r="F216" t="inlineStr">
        <is>
          <t>Cliente 6</t>
        </is>
      </c>
      <c r="G216" t="inlineStr">
        <is>
          <t>P-500</t>
        </is>
      </c>
      <c r="H216" t="inlineStr">
        <is>
          <t>Dock</t>
        </is>
      </c>
      <c r="I216" t="inlineStr">
        <is>
          <t>Tecnologia</t>
        </is>
      </c>
      <c r="J216" t="inlineStr">
        <is>
          <t>Sur</t>
        </is>
      </c>
      <c r="K216" t="inlineStr">
        <is>
          <t>SUC-08</t>
        </is>
      </c>
      <c r="L216" t="inlineStr">
        <is>
          <t>Distribuidor</t>
        </is>
      </c>
      <c r="M216" t="inlineStr">
        <is>
          <t>En revision</t>
        </is>
      </c>
      <c r="N216" t="inlineStr">
        <is>
          <t>Baja</t>
        </is>
      </c>
      <c r="O216" t="n">
        <v>35</v>
      </c>
      <c r="P216" s="14" t="n">
        <v>5955</v>
      </c>
      <c r="Q216" s="15" t="n">
        <v>0.15</v>
      </c>
      <c r="R216" s="14" t="n">
        <v>3692.1</v>
      </c>
      <c r="S216" s="12" t="n">
        <v>46100</v>
      </c>
      <c r="T216" s="12" t="n">
        <v>46096</v>
      </c>
      <c r="U216" t="inlineStr">
        <is>
          <t>Resp 12</t>
        </is>
      </c>
      <c r="V216" t="inlineStr">
        <is>
          <t>archivo_06.csv</t>
        </is>
      </c>
      <c r="W216" s="14">
        <f>O216*P216</f>
        <v/>
      </c>
      <c r="X216" s="14">
        <f>W216*Q216</f>
        <v/>
      </c>
      <c r="Y216" s="14">
        <f>W216-X216</f>
        <v/>
      </c>
      <c r="Z216" s="14">
        <f>O216*R216</f>
        <v/>
      </c>
      <c r="AA216" s="14">
        <f>Y216-Z216</f>
        <v/>
      </c>
      <c r="AB216" s="15">
        <f>IF(Y216=0,0,AA216/Y216)</f>
        <v/>
      </c>
      <c r="AC216">
        <f>MAX(0,T216-S216)</f>
        <v/>
      </c>
      <c r="AD216">
        <f>UPPER(TRIM(J216))&amp;"|"&amp;UPPER(TRIM(B216))&amp;"|"&amp;TEXT(C216,"yyyymmdd")&amp;"|"&amp;UPPER(TRIM(G216))</f>
        <v/>
      </c>
      <c r="AE216">
        <f>COUNTIF($AD$2:$AD$241,AD216)</f>
        <v/>
      </c>
    </row>
    <row r="217">
      <c r="A217" t="n">
        <v>216</v>
      </c>
      <c r="B217" t="inlineStr">
        <is>
          <t>OP-000216</t>
        </is>
      </c>
      <c r="C217" s="12" t="n">
        <v>46095</v>
      </c>
      <c r="D217" s="13" t="n">
        <v>0.2916666666666667</v>
      </c>
      <c r="E217" t="inlineStr">
        <is>
          <t>C-0007</t>
        </is>
      </c>
      <c r="F217" t="inlineStr">
        <is>
          <t>Cliente 7</t>
        </is>
      </c>
      <c r="G217" t="inlineStr">
        <is>
          <t>P-100</t>
        </is>
      </c>
      <c r="H217" t="inlineStr">
        <is>
          <t>Monitor 24</t>
        </is>
      </c>
      <c r="I217" t="inlineStr">
        <is>
          <t>Tecnologia</t>
        </is>
      </c>
      <c r="J217" t="inlineStr">
        <is>
          <t>Pacifico</t>
        </is>
      </c>
      <c r="K217" t="inlineStr">
        <is>
          <t>SUC-01</t>
        </is>
      </c>
      <c r="L217" t="inlineStr">
        <is>
          <t>Digital</t>
        </is>
      </c>
      <c r="M217" t="inlineStr">
        <is>
          <t>Aprobado</t>
        </is>
      </c>
      <c r="N217" t="inlineStr">
        <is>
          <t>Critica</t>
        </is>
      </c>
      <c r="O217" t="n">
        <v>38</v>
      </c>
      <c r="P217" s="14" t="n">
        <v>6092</v>
      </c>
      <c r="Q217" s="15" t="n">
        <v>0</v>
      </c>
      <c r="R217" s="14" t="n">
        <v>3350.6</v>
      </c>
      <c r="S217" s="12" t="n">
        <v>46108</v>
      </c>
      <c r="T217" s="12" t="n">
        <v>46104</v>
      </c>
      <c r="U217" t="inlineStr">
        <is>
          <t>Resp 1</t>
        </is>
      </c>
      <c r="V217" t="inlineStr">
        <is>
          <t>archivo_01.csv</t>
        </is>
      </c>
      <c r="W217" s="14">
        <f>O217*P217</f>
        <v/>
      </c>
      <c r="X217" s="14">
        <f>W217*Q217</f>
        <v/>
      </c>
      <c r="Y217" s="14">
        <f>W217-X217</f>
        <v/>
      </c>
      <c r="Z217" s="14">
        <f>O217*R217</f>
        <v/>
      </c>
      <c r="AA217" s="14">
        <f>Y217-Z217</f>
        <v/>
      </c>
      <c r="AB217" s="15">
        <f>IF(Y217=0,0,AA217/Y217)</f>
        <v/>
      </c>
      <c r="AC217">
        <f>MAX(0,T217-S217)</f>
        <v/>
      </c>
      <c r="AD217">
        <f>UPPER(TRIM(J217))&amp;"|"&amp;UPPER(TRIM(B217))&amp;"|"&amp;TEXT(C217,"yyyymmdd")&amp;"|"&amp;UPPER(TRIM(G217))</f>
        <v/>
      </c>
      <c r="AE217">
        <f>COUNTIF($AD$2:$AD$241,AD217)</f>
        <v/>
      </c>
    </row>
    <row r="218">
      <c r="A218" t="n">
        <v>217</v>
      </c>
      <c r="B218" t="inlineStr">
        <is>
          <t>OP-000217</t>
        </is>
      </c>
      <c r="C218" s="12" t="n">
        <v>46102</v>
      </c>
      <c r="D218" s="13" t="n">
        <v>0.3368055555555556</v>
      </c>
      <c r="E218" t="inlineStr">
        <is>
          <t>C-0008</t>
        </is>
      </c>
      <c r="F218" t="inlineStr">
        <is>
          <t>Cliente 8</t>
        </is>
      </c>
      <c r="G218" t="inlineStr">
        <is>
          <t>P-200</t>
        </is>
      </c>
      <c r="H218" t="inlineStr">
        <is>
          <t>Teclado</t>
        </is>
      </c>
      <c r="I218" t="inlineStr">
        <is>
          <t>Tecnologia</t>
        </is>
      </c>
      <c r="J218" t="inlineStr">
        <is>
          <t>Norte</t>
        </is>
      </c>
      <c r="K218" t="inlineStr">
        <is>
          <t>SUC-02</t>
        </is>
      </c>
      <c r="L218" t="inlineStr">
        <is>
          <t>Tienda</t>
        </is>
      </c>
      <c r="M218" t="inlineStr">
        <is>
          <t>Pendiente</t>
        </is>
      </c>
      <c r="N218" t="inlineStr">
        <is>
          <t>Alta</t>
        </is>
      </c>
      <c r="O218" t="n">
        <v>41</v>
      </c>
      <c r="P218" s="14" t="n">
        <v>6229</v>
      </c>
      <c r="Q218" s="15" t="n">
        <v>0.05</v>
      </c>
      <c r="R218" s="14" t="n">
        <v>3488.24</v>
      </c>
      <c r="S218" s="12" t="n">
        <v>46116</v>
      </c>
      <c r="T218" s="12" t="n">
        <v>46112</v>
      </c>
      <c r="U218" t="inlineStr">
        <is>
          <t>Resp 2</t>
        </is>
      </c>
      <c r="V218" t="inlineStr">
        <is>
          <t>archivo_02.csv</t>
        </is>
      </c>
      <c r="W218" s="14">
        <f>O218*P218</f>
        <v/>
      </c>
      <c r="X218" s="14">
        <f>W218*Q218</f>
        <v/>
      </c>
      <c r="Y218" s="14">
        <f>W218-X218</f>
        <v/>
      </c>
      <c r="Z218" s="14">
        <f>O218*R218</f>
        <v/>
      </c>
      <c r="AA218" s="14">
        <f>Y218-Z218</f>
        <v/>
      </c>
      <c r="AB218" s="15">
        <f>IF(Y218=0,0,AA218/Y218)</f>
        <v/>
      </c>
      <c r="AC218">
        <f>MAX(0,T218-S218)</f>
        <v/>
      </c>
      <c r="AD218">
        <f>UPPER(TRIM(J218))&amp;"|"&amp;UPPER(TRIM(B218))&amp;"|"&amp;TEXT(C218,"yyyymmdd")&amp;"|"&amp;UPPER(TRIM(G218))</f>
        <v/>
      </c>
      <c r="AE218">
        <f>COUNTIF($AD$2:$AD$241,AD218)</f>
        <v/>
      </c>
    </row>
    <row r="219">
      <c r="A219" t="n">
        <v>218</v>
      </c>
      <c r="B219" t="inlineStr">
        <is>
          <t>OP-000218</t>
        </is>
      </c>
      <c r="C219" s="12" t="n">
        <v>46109</v>
      </c>
      <c r="D219" s="13" t="n">
        <v>0.3819444444444444</v>
      </c>
      <c r="E219" t="inlineStr">
        <is>
          <t>C-0009</t>
        </is>
      </c>
      <c r="F219" t="inlineStr">
        <is>
          <t>Cliente 9</t>
        </is>
      </c>
      <c r="G219" t="inlineStr">
        <is>
          <t>P-300</t>
        </is>
      </c>
      <c r="H219" t="inlineStr">
        <is>
          <t>Mouse</t>
        </is>
      </c>
      <c r="I219" t="inlineStr">
        <is>
          <t>Tecnologia</t>
        </is>
      </c>
      <c r="J219" t="inlineStr">
        <is>
          <t>Centro</t>
        </is>
      </c>
      <c r="K219" t="inlineStr">
        <is>
          <t>SUC-03</t>
        </is>
      </c>
      <c r="L219" t="inlineStr">
        <is>
          <t>Distribuidor</t>
        </is>
      </c>
      <c r="M219" t="inlineStr">
        <is>
          <t>Cancelado</t>
        </is>
      </c>
      <c r="N219" t="inlineStr">
        <is>
          <t>Media</t>
        </is>
      </c>
      <c r="O219" t="n">
        <v>44</v>
      </c>
      <c r="P219" s="14" t="n">
        <v>6366</v>
      </c>
      <c r="Q219" s="15" t="n">
        <v>0.1</v>
      </c>
      <c r="R219" s="14" t="n">
        <v>3628.62</v>
      </c>
      <c r="S219" s="12" t="n">
        <v>46124</v>
      </c>
      <c r="T219" s="12" t="n">
        <v>46120</v>
      </c>
      <c r="U219" t="inlineStr">
        <is>
          <t>Resp 3</t>
        </is>
      </c>
      <c r="V219" t="inlineStr">
        <is>
          <t>archivo_03.csv</t>
        </is>
      </c>
      <c r="W219" s="14">
        <f>O219*P219</f>
        <v/>
      </c>
      <c r="X219" s="14">
        <f>W219*Q219</f>
        <v/>
      </c>
      <c r="Y219" s="14">
        <f>W219-X219</f>
        <v/>
      </c>
      <c r="Z219" s="14">
        <f>O219*R219</f>
        <v/>
      </c>
      <c r="AA219" s="14">
        <f>Y219-Z219</f>
        <v/>
      </c>
      <c r="AB219" s="15">
        <f>IF(Y219=0,0,AA219/Y219)</f>
        <v/>
      </c>
      <c r="AC219">
        <f>MAX(0,T219-S219)</f>
        <v/>
      </c>
      <c r="AD219">
        <f>UPPER(TRIM(J219))&amp;"|"&amp;UPPER(TRIM(B219))&amp;"|"&amp;TEXT(C219,"yyyymmdd")&amp;"|"&amp;UPPER(TRIM(G219))</f>
        <v/>
      </c>
      <c r="AE219">
        <f>COUNTIF($AD$2:$AD$241,AD219)</f>
        <v/>
      </c>
    </row>
    <row r="220">
      <c r="A220" t="n">
        <v>219</v>
      </c>
      <c r="B220" t="inlineStr">
        <is>
          <t>OP-000219</t>
        </is>
      </c>
      <c r="C220" s="12" t="n">
        <v>46116</v>
      </c>
      <c r="D220" s="13" t="n">
        <v>0.4270833333333333</v>
      </c>
      <c r="E220" t="inlineStr">
        <is>
          <t>C-0010</t>
        </is>
      </c>
      <c r="F220" t="inlineStr">
        <is>
          <t>Cliente 10</t>
        </is>
      </c>
      <c r="G220" t="inlineStr">
        <is>
          <t>P-400</t>
        </is>
      </c>
      <c r="H220" t="inlineStr">
        <is>
          <t>Laptop</t>
        </is>
      </c>
      <c r="I220" t="inlineStr">
        <is>
          <t>Tecnologia</t>
        </is>
      </c>
      <c r="J220" t="inlineStr">
        <is>
          <t>Sur</t>
        </is>
      </c>
      <c r="K220" t="inlineStr">
        <is>
          <t>SUC-04</t>
        </is>
      </c>
      <c r="L220" t="inlineStr">
        <is>
          <t>Digital</t>
        </is>
      </c>
      <c r="M220" t="inlineStr">
        <is>
          <t>En revision</t>
        </is>
      </c>
      <c r="N220" t="inlineStr">
        <is>
          <t>Baja</t>
        </is>
      </c>
      <c r="O220" t="n">
        <v>47</v>
      </c>
      <c r="P220" s="14" t="n">
        <v>6503</v>
      </c>
      <c r="Q220" s="15" t="n">
        <v>0.15</v>
      </c>
      <c r="R220" s="14" t="n">
        <v>3771.74</v>
      </c>
      <c r="S220" s="12" t="n">
        <v>46132</v>
      </c>
      <c r="T220" s="12" t="n">
        <v>46128</v>
      </c>
      <c r="U220" t="inlineStr">
        <is>
          <t>Resp 4</t>
        </is>
      </c>
      <c r="V220" t="inlineStr">
        <is>
          <t>archivo_04.csv</t>
        </is>
      </c>
      <c r="W220" s="14">
        <f>O220*P220</f>
        <v/>
      </c>
      <c r="X220" s="14">
        <f>W220*Q220</f>
        <v/>
      </c>
      <c r="Y220" s="14">
        <f>W220-X220</f>
        <v/>
      </c>
      <c r="Z220" s="14">
        <f>O220*R220</f>
        <v/>
      </c>
      <c r="AA220" s="14">
        <f>Y220-Z220</f>
        <v/>
      </c>
      <c r="AB220" s="15">
        <f>IF(Y220=0,0,AA220/Y220)</f>
        <v/>
      </c>
      <c r="AC220">
        <f>MAX(0,T220-S220)</f>
        <v/>
      </c>
      <c r="AD220">
        <f>UPPER(TRIM(J220))&amp;"|"&amp;UPPER(TRIM(B220))&amp;"|"&amp;TEXT(C220,"yyyymmdd")&amp;"|"&amp;UPPER(TRIM(G220))</f>
        <v/>
      </c>
      <c r="AE220">
        <f>COUNTIF($AD$2:$AD$241,AD220)</f>
        <v/>
      </c>
    </row>
    <row r="221">
      <c r="A221" t="n">
        <v>220</v>
      </c>
      <c r="B221" t="inlineStr">
        <is>
          <t>OP-000220</t>
        </is>
      </c>
      <c r="C221" s="12" t="n">
        <v>46123</v>
      </c>
      <c r="D221" s="13" t="n">
        <v>0.4722222222222222</v>
      </c>
      <c r="E221" t="inlineStr">
        <is>
          <t>C-0011</t>
        </is>
      </c>
      <c r="F221" t="inlineStr">
        <is>
          <t>Cliente 11</t>
        </is>
      </c>
      <c r="G221" t="inlineStr">
        <is>
          <t>P-500</t>
        </is>
      </c>
      <c r="H221" t="inlineStr">
        <is>
          <t>Dock</t>
        </is>
      </c>
      <c r="I221" t="inlineStr">
        <is>
          <t>Tecnologia</t>
        </is>
      </c>
      <c r="J221" t="inlineStr">
        <is>
          <t>Pacifico</t>
        </is>
      </c>
      <c r="K221" t="inlineStr">
        <is>
          <t>SUC-05</t>
        </is>
      </c>
      <c r="L221" t="inlineStr">
        <is>
          <t>Tienda</t>
        </is>
      </c>
      <c r="M221" t="inlineStr">
        <is>
          <t>Aprobado</t>
        </is>
      </c>
      <c r="N221" t="inlineStr">
        <is>
          <t>Critica</t>
        </is>
      </c>
      <c r="O221" t="n">
        <v>3</v>
      </c>
      <c r="P221" s="14" t="n">
        <v>6640</v>
      </c>
      <c r="Q221" s="15" t="n">
        <v>0</v>
      </c>
      <c r="R221" s="14" t="n">
        <v>3917.6</v>
      </c>
      <c r="S221" s="12" t="n">
        <v>46130</v>
      </c>
      <c r="T221" s="12" t="n">
        <v>46136</v>
      </c>
      <c r="U221" t="inlineStr">
        <is>
          <t>Resp 5</t>
        </is>
      </c>
      <c r="V221" t="inlineStr">
        <is>
          <t>archivo_05.csv</t>
        </is>
      </c>
      <c r="W221" s="14">
        <f>O221*P221</f>
        <v/>
      </c>
      <c r="X221" s="14">
        <f>W221*Q221</f>
        <v/>
      </c>
      <c r="Y221" s="14">
        <f>W221-X221</f>
        <v/>
      </c>
      <c r="Z221" s="14">
        <f>O221*R221</f>
        <v/>
      </c>
      <c r="AA221" s="14">
        <f>Y221-Z221</f>
        <v/>
      </c>
      <c r="AB221" s="15">
        <f>IF(Y221=0,0,AA221/Y221)</f>
        <v/>
      </c>
      <c r="AC221">
        <f>MAX(0,T221-S221)</f>
        <v/>
      </c>
      <c r="AD221">
        <f>UPPER(TRIM(J221))&amp;"|"&amp;UPPER(TRIM(B221))&amp;"|"&amp;TEXT(C221,"yyyymmdd")&amp;"|"&amp;UPPER(TRIM(G221))</f>
        <v/>
      </c>
      <c r="AE221">
        <f>COUNTIF($AD$2:$AD$241,AD221)</f>
        <v/>
      </c>
    </row>
    <row r="222">
      <c r="A222" t="n">
        <v>221</v>
      </c>
      <c r="B222" t="inlineStr">
        <is>
          <t>OP-000221</t>
        </is>
      </c>
      <c r="C222" s="12" t="n">
        <v>46130</v>
      </c>
      <c r="D222" s="13" t="n">
        <v>0.5173611111111112</v>
      </c>
      <c r="E222" t="inlineStr">
        <is>
          <t>C-0012</t>
        </is>
      </c>
      <c r="F222" t="inlineStr">
        <is>
          <t>Cliente 12</t>
        </is>
      </c>
      <c r="G222" t="inlineStr">
        <is>
          <t>P-100</t>
        </is>
      </c>
      <c r="H222" t="inlineStr">
        <is>
          <t>Monitor 24</t>
        </is>
      </c>
      <c r="I222" t="inlineStr">
        <is>
          <t>Tecnologia</t>
        </is>
      </c>
      <c r="J222" t="inlineStr">
        <is>
          <t>Norte</t>
        </is>
      </c>
      <c r="K222" t="inlineStr">
        <is>
          <t>SUC-06</t>
        </is>
      </c>
      <c r="L222" t="inlineStr">
        <is>
          <t>Distribuidor</t>
        </is>
      </c>
      <c r="M222" t="inlineStr">
        <is>
          <t>Pendiente</t>
        </is>
      </c>
      <c r="N222" t="inlineStr">
        <is>
          <t>Alta</t>
        </is>
      </c>
      <c r="O222" t="n">
        <v>6</v>
      </c>
      <c r="P222" s="14" t="n">
        <v>6777</v>
      </c>
      <c r="Q222" s="15" t="n">
        <v>0.05</v>
      </c>
      <c r="R222" s="14" t="n">
        <v>4066.2</v>
      </c>
      <c r="S222" s="12" t="n">
        <v>46138</v>
      </c>
      <c r="T222" s="12" t="n">
        <v>46144</v>
      </c>
      <c r="U222" t="inlineStr">
        <is>
          <t>Resp 6</t>
        </is>
      </c>
      <c r="V222" t="inlineStr">
        <is>
          <t>archivo_06.csv</t>
        </is>
      </c>
      <c r="W222" s="14">
        <f>O222*P222</f>
        <v/>
      </c>
      <c r="X222" s="14">
        <f>W222*Q222</f>
        <v/>
      </c>
      <c r="Y222" s="14">
        <f>W222-X222</f>
        <v/>
      </c>
      <c r="Z222" s="14">
        <f>O222*R222</f>
        <v/>
      </c>
      <c r="AA222" s="14">
        <f>Y222-Z222</f>
        <v/>
      </c>
      <c r="AB222" s="15">
        <f>IF(Y222=0,0,AA222/Y222)</f>
        <v/>
      </c>
      <c r="AC222">
        <f>MAX(0,T222-S222)</f>
        <v/>
      </c>
      <c r="AD222">
        <f>UPPER(TRIM(J222))&amp;"|"&amp;UPPER(TRIM(B222))&amp;"|"&amp;TEXT(C222,"yyyymmdd")&amp;"|"&amp;UPPER(TRIM(G222))</f>
        <v/>
      </c>
      <c r="AE222">
        <f>COUNTIF($AD$2:$AD$241,AD222)</f>
        <v/>
      </c>
    </row>
    <row r="223">
      <c r="A223" t="n">
        <v>222</v>
      </c>
      <c r="B223" t="inlineStr">
        <is>
          <t>OP-000222</t>
        </is>
      </c>
      <c r="C223" s="12" t="n">
        <v>46137</v>
      </c>
      <c r="D223" s="13" t="n">
        <v>0.5625</v>
      </c>
      <c r="E223" t="inlineStr">
        <is>
          <t>C-0013</t>
        </is>
      </c>
      <c r="F223" t="inlineStr">
        <is>
          <t>Cliente 13</t>
        </is>
      </c>
      <c r="G223" t="inlineStr">
        <is>
          <t>P-200</t>
        </is>
      </c>
      <c r="H223" t="inlineStr">
        <is>
          <t>Teclado</t>
        </is>
      </c>
      <c r="I223" t="inlineStr">
        <is>
          <t>Tecnologia</t>
        </is>
      </c>
      <c r="J223" t="inlineStr">
        <is>
          <t>Centro</t>
        </is>
      </c>
      <c r="K223" t="inlineStr">
        <is>
          <t>SUC-07</t>
        </is>
      </c>
      <c r="L223" t="inlineStr">
        <is>
          <t>Digital</t>
        </is>
      </c>
      <c r="M223" t="inlineStr">
        <is>
          <t>Cancelado</t>
        </is>
      </c>
      <c r="N223" t="inlineStr">
        <is>
          <t>Media</t>
        </is>
      </c>
      <c r="O223" t="n">
        <v>9</v>
      </c>
      <c r="P223" s="14" t="n">
        <v>6914</v>
      </c>
      <c r="Q223" s="15" t="n">
        <v>0.1</v>
      </c>
      <c r="R223" s="14" t="n">
        <v>4217.54</v>
      </c>
      <c r="S223" s="12" t="n">
        <v>46146</v>
      </c>
      <c r="T223" s="12" t="n">
        <v>46152</v>
      </c>
      <c r="U223" t="inlineStr">
        <is>
          <t>Resp 7</t>
        </is>
      </c>
      <c r="V223" t="inlineStr">
        <is>
          <t>archivo_01.csv</t>
        </is>
      </c>
      <c r="W223" s="14">
        <f>O223*P223</f>
        <v/>
      </c>
      <c r="X223" s="14">
        <f>W223*Q223</f>
        <v/>
      </c>
      <c r="Y223" s="14">
        <f>W223-X223</f>
        <v/>
      </c>
      <c r="Z223" s="14">
        <f>O223*R223</f>
        <v/>
      </c>
      <c r="AA223" s="14">
        <f>Y223-Z223</f>
        <v/>
      </c>
      <c r="AB223" s="15">
        <f>IF(Y223=0,0,AA223/Y223)</f>
        <v/>
      </c>
      <c r="AC223">
        <f>MAX(0,T223-S223)</f>
        <v/>
      </c>
      <c r="AD223">
        <f>UPPER(TRIM(J223))&amp;"|"&amp;UPPER(TRIM(B223))&amp;"|"&amp;TEXT(C223,"yyyymmdd")&amp;"|"&amp;UPPER(TRIM(G223))</f>
        <v/>
      </c>
      <c r="AE223">
        <f>COUNTIF($AD$2:$AD$241,AD223)</f>
        <v/>
      </c>
    </row>
    <row r="224">
      <c r="A224" t="n">
        <v>223</v>
      </c>
      <c r="B224" t="inlineStr">
        <is>
          <t>OP-000223</t>
        </is>
      </c>
      <c r="C224" s="12" t="n">
        <v>46144</v>
      </c>
      <c r="D224" s="13" t="n">
        <v>0.6076388888888888</v>
      </c>
      <c r="E224" t="inlineStr">
        <is>
          <t>C-0014</t>
        </is>
      </c>
      <c r="F224" t="inlineStr">
        <is>
          <t>Cliente 14</t>
        </is>
      </c>
      <c r="G224" t="inlineStr">
        <is>
          <t>P-300</t>
        </is>
      </c>
      <c r="H224" t="inlineStr">
        <is>
          <t>Mouse</t>
        </is>
      </c>
      <c r="I224" t="inlineStr">
        <is>
          <t>Tecnologia</t>
        </is>
      </c>
      <c r="J224" t="inlineStr">
        <is>
          <t>Sur</t>
        </is>
      </c>
      <c r="K224" t="inlineStr">
        <is>
          <t>SUC-08</t>
        </is>
      </c>
      <c r="L224" t="inlineStr">
        <is>
          <t>Tienda</t>
        </is>
      </c>
      <c r="M224" t="inlineStr">
        <is>
          <t>En revision</t>
        </is>
      </c>
      <c r="N224" t="inlineStr">
        <is>
          <t>Baja</t>
        </is>
      </c>
      <c r="O224" t="n">
        <v>12</v>
      </c>
      <c r="P224" s="14" t="n">
        <v>7051</v>
      </c>
      <c r="Q224" s="15" t="n">
        <v>0.15</v>
      </c>
      <c r="R224" s="14" t="n">
        <v>4371.62</v>
      </c>
      <c r="S224" s="12" t="n">
        <v>46154</v>
      </c>
      <c r="T224" s="12" t="n">
        <v>46160</v>
      </c>
      <c r="U224" t="inlineStr">
        <is>
          <t>Resp 8</t>
        </is>
      </c>
      <c r="V224" t="inlineStr">
        <is>
          <t>archivo_02.csv</t>
        </is>
      </c>
      <c r="W224" s="14">
        <f>O224*P224</f>
        <v/>
      </c>
      <c r="X224" s="14">
        <f>W224*Q224</f>
        <v/>
      </c>
      <c r="Y224" s="14">
        <f>W224-X224</f>
        <v/>
      </c>
      <c r="Z224" s="14">
        <f>O224*R224</f>
        <v/>
      </c>
      <c r="AA224" s="14">
        <f>Y224-Z224</f>
        <v/>
      </c>
      <c r="AB224" s="15">
        <f>IF(Y224=0,0,AA224/Y224)</f>
        <v/>
      </c>
      <c r="AC224">
        <f>MAX(0,T224-S224)</f>
        <v/>
      </c>
      <c r="AD224">
        <f>UPPER(TRIM(J224))&amp;"|"&amp;UPPER(TRIM(B224))&amp;"|"&amp;TEXT(C224,"yyyymmdd")&amp;"|"&amp;UPPER(TRIM(G224))</f>
        <v/>
      </c>
      <c r="AE224">
        <f>COUNTIF($AD$2:$AD$241,AD224)</f>
        <v/>
      </c>
    </row>
    <row r="225">
      <c r="A225" t="n">
        <v>224</v>
      </c>
      <c r="B225" t="inlineStr">
        <is>
          <t>OP-000224</t>
        </is>
      </c>
      <c r="C225" s="12" t="n">
        <v>46151</v>
      </c>
      <c r="D225" s="13" t="n">
        <v>0.6527777777777778</v>
      </c>
      <c r="E225" t="inlineStr">
        <is>
          <t>C-0015</t>
        </is>
      </c>
      <c r="F225" t="inlineStr">
        <is>
          <t>Cliente 15</t>
        </is>
      </c>
      <c r="G225" t="inlineStr">
        <is>
          <t>P-400</t>
        </is>
      </c>
      <c r="H225" t="inlineStr">
        <is>
          <t>Laptop</t>
        </is>
      </c>
      <c r="I225" t="inlineStr">
        <is>
          <t>Tecnologia</t>
        </is>
      </c>
      <c r="J225" t="inlineStr">
        <is>
          <t>Pacifico</t>
        </is>
      </c>
      <c r="K225" t="inlineStr">
        <is>
          <t>SUC-01</t>
        </is>
      </c>
      <c r="L225" t="inlineStr">
        <is>
          <t>Distribuidor</t>
        </is>
      </c>
      <c r="M225" t="inlineStr">
        <is>
          <t>Aprobado</t>
        </is>
      </c>
      <c r="N225" t="inlineStr">
        <is>
          <t>Critica</t>
        </is>
      </c>
      <c r="O225" t="n">
        <v>15</v>
      </c>
      <c r="P225" s="14" t="n">
        <v>7188</v>
      </c>
      <c r="Q225" s="15" t="n">
        <v>0</v>
      </c>
      <c r="R225" s="14" t="n">
        <v>3953.4</v>
      </c>
      <c r="S225" s="12" t="n">
        <v>46162</v>
      </c>
      <c r="T225" s="12" t="n">
        <v>46168</v>
      </c>
      <c r="U225" t="inlineStr">
        <is>
          <t>Resp 9</t>
        </is>
      </c>
      <c r="V225" t="inlineStr">
        <is>
          <t>archivo_03.csv</t>
        </is>
      </c>
      <c r="W225" s="14">
        <f>O225*P225</f>
        <v/>
      </c>
      <c r="X225" s="14">
        <f>W225*Q225</f>
        <v/>
      </c>
      <c r="Y225" s="14">
        <f>W225-X225</f>
        <v/>
      </c>
      <c r="Z225" s="14">
        <f>O225*R225</f>
        <v/>
      </c>
      <c r="AA225" s="14">
        <f>Y225-Z225</f>
        <v/>
      </c>
      <c r="AB225" s="15">
        <f>IF(Y225=0,0,AA225/Y225)</f>
        <v/>
      </c>
      <c r="AC225">
        <f>MAX(0,T225-S225)</f>
        <v/>
      </c>
      <c r="AD225">
        <f>UPPER(TRIM(J225))&amp;"|"&amp;UPPER(TRIM(B225))&amp;"|"&amp;TEXT(C225,"yyyymmdd")&amp;"|"&amp;UPPER(TRIM(G225))</f>
        <v/>
      </c>
      <c r="AE225">
        <f>COUNTIF($AD$2:$AD$241,AD225)</f>
        <v/>
      </c>
    </row>
    <row r="226">
      <c r="A226" t="n">
        <v>225</v>
      </c>
      <c r="B226" t="inlineStr">
        <is>
          <t>OP-000225</t>
        </is>
      </c>
      <c r="C226" s="12" t="n">
        <v>46158</v>
      </c>
      <c r="D226" s="13" t="n">
        <v>0.6979166666666666</v>
      </c>
      <c r="E226" t="inlineStr">
        <is>
          <t>C-0016</t>
        </is>
      </c>
      <c r="F226" t="inlineStr">
        <is>
          <t>Cliente 16</t>
        </is>
      </c>
      <c r="G226" t="inlineStr">
        <is>
          <t>P-500</t>
        </is>
      </c>
      <c r="H226" t="inlineStr">
        <is>
          <t>Dock</t>
        </is>
      </c>
      <c r="I226" t="inlineStr">
        <is>
          <t>Tecnologia</t>
        </is>
      </c>
      <c r="J226" t="inlineStr">
        <is>
          <t>Norte</t>
        </is>
      </c>
      <c r="K226" t="inlineStr">
        <is>
          <t>SUC-02</t>
        </is>
      </c>
      <c r="L226" t="inlineStr">
        <is>
          <t>Digital</t>
        </is>
      </c>
      <c r="M226" t="inlineStr">
        <is>
          <t>Pendiente</t>
        </is>
      </c>
      <c r="N226" t="inlineStr">
        <is>
          <t>Alta</t>
        </is>
      </c>
      <c r="O226" t="n">
        <v>18</v>
      </c>
      <c r="P226" s="14" t="n">
        <v>7325</v>
      </c>
      <c r="Q226" s="15" t="n">
        <v>0.05</v>
      </c>
      <c r="R226" s="14" t="n">
        <v>4102</v>
      </c>
      <c r="S226" s="12" t="n">
        <v>46170</v>
      </c>
      <c r="T226" s="12" t="n">
        <v>46161</v>
      </c>
      <c r="U226" t="inlineStr">
        <is>
          <t>Resp 10</t>
        </is>
      </c>
      <c r="V226" t="inlineStr">
        <is>
          <t>archivo_04.csv</t>
        </is>
      </c>
      <c r="W226" s="14">
        <f>O226*P226</f>
        <v/>
      </c>
      <c r="X226" s="14">
        <f>W226*Q226</f>
        <v/>
      </c>
      <c r="Y226" s="14">
        <f>W226-X226</f>
        <v/>
      </c>
      <c r="Z226" s="14">
        <f>O226*R226</f>
        <v/>
      </c>
      <c r="AA226" s="14">
        <f>Y226-Z226</f>
        <v/>
      </c>
      <c r="AB226" s="15">
        <f>IF(Y226=0,0,AA226/Y226)</f>
        <v/>
      </c>
      <c r="AC226">
        <f>MAX(0,T226-S226)</f>
        <v/>
      </c>
      <c r="AD226">
        <f>UPPER(TRIM(J226))&amp;"|"&amp;UPPER(TRIM(B226))&amp;"|"&amp;TEXT(C226,"yyyymmdd")&amp;"|"&amp;UPPER(TRIM(G226))</f>
        <v/>
      </c>
      <c r="AE226">
        <f>COUNTIF($AD$2:$AD$241,AD226)</f>
        <v/>
      </c>
    </row>
    <row r="227">
      <c r="A227" t="n">
        <v>226</v>
      </c>
      <c r="B227" t="inlineStr">
        <is>
          <t>OP-000226</t>
        </is>
      </c>
      <c r="C227" s="12" t="n">
        <v>46165</v>
      </c>
      <c r="D227" s="13" t="n">
        <v>0.7430555555555556</v>
      </c>
      <c r="E227" t="inlineStr">
        <is>
          <t>C-0017</t>
        </is>
      </c>
      <c r="F227" t="inlineStr">
        <is>
          <t>Cliente 17</t>
        </is>
      </c>
      <c r="G227" t="inlineStr">
        <is>
          <t>P-100</t>
        </is>
      </c>
      <c r="H227" t="inlineStr">
        <is>
          <t>Monitor 24</t>
        </is>
      </c>
      <c r="I227" t="inlineStr">
        <is>
          <t>Tecnologia</t>
        </is>
      </c>
      <c r="J227" t="inlineStr">
        <is>
          <t>Centro</t>
        </is>
      </c>
      <c r="K227" t="inlineStr">
        <is>
          <t>SUC-03</t>
        </is>
      </c>
      <c r="L227" t="inlineStr">
        <is>
          <t>Tienda</t>
        </is>
      </c>
      <c r="M227" t="inlineStr">
        <is>
          <t>Cancelado</t>
        </is>
      </c>
      <c r="N227" t="inlineStr">
        <is>
          <t>Media</t>
        </is>
      </c>
      <c r="O227" t="n">
        <v>21</v>
      </c>
      <c r="P227" s="14" t="n">
        <v>7462</v>
      </c>
      <c r="Q227" s="15" t="n">
        <v>0.1</v>
      </c>
      <c r="R227" s="14" t="n">
        <v>4253.34</v>
      </c>
      <c r="S227" s="12" t="n">
        <v>46178</v>
      </c>
      <c r="T227" s="12" t="n">
        <v>46169</v>
      </c>
      <c r="U227" t="inlineStr">
        <is>
          <t>Resp 11</t>
        </is>
      </c>
      <c r="V227" t="inlineStr">
        <is>
          <t>archivo_05.csv</t>
        </is>
      </c>
      <c r="W227" s="14">
        <f>O227*P227</f>
        <v/>
      </c>
      <c r="X227" s="14">
        <f>W227*Q227</f>
        <v/>
      </c>
      <c r="Y227" s="14">
        <f>W227-X227</f>
        <v/>
      </c>
      <c r="Z227" s="14">
        <f>O227*R227</f>
        <v/>
      </c>
      <c r="AA227" s="14">
        <f>Y227-Z227</f>
        <v/>
      </c>
      <c r="AB227" s="15">
        <f>IF(Y227=0,0,AA227/Y227)</f>
        <v/>
      </c>
      <c r="AC227">
        <f>MAX(0,T227-S227)</f>
        <v/>
      </c>
      <c r="AD227">
        <f>UPPER(TRIM(J227))&amp;"|"&amp;UPPER(TRIM(B227))&amp;"|"&amp;TEXT(C227,"yyyymmdd")&amp;"|"&amp;UPPER(TRIM(G227))</f>
        <v/>
      </c>
      <c r="AE227">
        <f>COUNTIF($AD$2:$AD$241,AD227)</f>
        <v/>
      </c>
    </row>
    <row r="228">
      <c r="A228" t="n">
        <v>227</v>
      </c>
      <c r="B228" t="inlineStr">
        <is>
          <t>OP-000227</t>
        </is>
      </c>
      <c r="C228" s="12" t="n">
        <v>46172</v>
      </c>
      <c r="D228" s="13" t="n">
        <v>0.7881944444444444</v>
      </c>
      <c r="E228" t="inlineStr">
        <is>
          <t>C-0018</t>
        </is>
      </c>
      <c r="F228" t="inlineStr">
        <is>
          <t>Cliente 18</t>
        </is>
      </c>
      <c r="G228" t="inlineStr">
        <is>
          <t>P-200</t>
        </is>
      </c>
      <c r="H228" t="inlineStr">
        <is>
          <t>Teclado</t>
        </is>
      </c>
      <c r="I228" t="inlineStr">
        <is>
          <t>Tecnologia</t>
        </is>
      </c>
      <c r="J228" t="inlineStr">
        <is>
          <t>Sur</t>
        </is>
      </c>
      <c r="K228" t="inlineStr">
        <is>
          <t>SUC-04</t>
        </is>
      </c>
      <c r="L228" t="inlineStr">
        <is>
          <t>Distribuidor</t>
        </is>
      </c>
      <c r="M228" t="inlineStr">
        <is>
          <t>En revision</t>
        </is>
      </c>
      <c r="N228" t="inlineStr">
        <is>
          <t>Baja</t>
        </is>
      </c>
      <c r="O228" t="n">
        <v>24</v>
      </c>
      <c r="P228" s="14" t="n">
        <v>7599</v>
      </c>
      <c r="Q228" s="15" t="n">
        <v>0.15</v>
      </c>
      <c r="R228" s="14" t="n">
        <v>4407.42</v>
      </c>
      <c r="S228" s="12" t="n">
        <v>46186</v>
      </c>
      <c r="T228" s="12" t="n">
        <v>46177</v>
      </c>
      <c r="U228" t="inlineStr">
        <is>
          <t>Resp 12</t>
        </is>
      </c>
      <c r="V228" t="inlineStr">
        <is>
          <t>archivo_06.csv</t>
        </is>
      </c>
      <c r="W228" s="14">
        <f>O228*P228</f>
        <v/>
      </c>
      <c r="X228" s="14">
        <f>W228*Q228</f>
        <v/>
      </c>
      <c r="Y228" s="14">
        <f>W228-X228</f>
        <v/>
      </c>
      <c r="Z228" s="14">
        <f>O228*R228</f>
        <v/>
      </c>
      <c r="AA228" s="14">
        <f>Y228-Z228</f>
        <v/>
      </c>
      <c r="AB228" s="15">
        <f>IF(Y228=0,0,AA228/Y228)</f>
        <v/>
      </c>
      <c r="AC228">
        <f>MAX(0,T228-S228)</f>
        <v/>
      </c>
      <c r="AD228">
        <f>UPPER(TRIM(J228))&amp;"|"&amp;UPPER(TRIM(B228))&amp;"|"&amp;TEXT(C228,"yyyymmdd")&amp;"|"&amp;UPPER(TRIM(G228))</f>
        <v/>
      </c>
      <c r="AE228">
        <f>COUNTIF($AD$2:$AD$241,AD228)</f>
        <v/>
      </c>
    </row>
    <row r="229">
      <c r="A229" t="n">
        <v>228</v>
      </c>
      <c r="B229" t="inlineStr">
        <is>
          <t>OP-000228</t>
        </is>
      </c>
      <c r="C229" s="12" t="n">
        <v>46179</v>
      </c>
      <c r="D229" s="13" t="n">
        <v>0.2916666666666667</v>
      </c>
      <c r="E229" t="inlineStr">
        <is>
          <t>C-0019</t>
        </is>
      </c>
      <c r="F229" t="inlineStr">
        <is>
          <t>Cliente 19</t>
        </is>
      </c>
      <c r="G229" t="inlineStr">
        <is>
          <t>P-300</t>
        </is>
      </c>
      <c r="H229" t="inlineStr">
        <is>
          <t>Mouse</t>
        </is>
      </c>
      <c r="I229" t="inlineStr">
        <is>
          <t>Tecnologia</t>
        </is>
      </c>
      <c r="J229" t="inlineStr">
        <is>
          <t>Pacifico</t>
        </is>
      </c>
      <c r="K229" t="inlineStr">
        <is>
          <t>SUC-05</t>
        </is>
      </c>
      <c r="L229" t="inlineStr">
        <is>
          <t>Digital</t>
        </is>
      </c>
      <c r="M229" t="inlineStr">
        <is>
          <t>Aprobado</t>
        </is>
      </c>
      <c r="N229" t="inlineStr">
        <is>
          <t>Critica</t>
        </is>
      </c>
      <c r="O229" t="n">
        <v>27</v>
      </c>
      <c r="P229" s="14" t="n">
        <v>7736</v>
      </c>
      <c r="Q229" s="15" t="n">
        <v>0</v>
      </c>
      <c r="R229" s="14" t="n">
        <v>4564.24</v>
      </c>
      <c r="S229" s="12" t="n">
        <v>46194</v>
      </c>
      <c r="T229" s="12" t="n">
        <v>46185</v>
      </c>
      <c r="U229" t="inlineStr">
        <is>
          <t>Resp 1</t>
        </is>
      </c>
      <c r="V229" t="inlineStr">
        <is>
          <t>archivo_01.csv</t>
        </is>
      </c>
      <c r="W229" s="14">
        <f>O229*P229</f>
        <v/>
      </c>
      <c r="X229" s="14">
        <f>W229*Q229</f>
        <v/>
      </c>
      <c r="Y229" s="14">
        <f>W229-X229</f>
        <v/>
      </c>
      <c r="Z229" s="14">
        <f>O229*R229</f>
        <v/>
      </c>
      <c r="AA229" s="14">
        <f>Y229-Z229</f>
        <v/>
      </c>
      <c r="AB229" s="15">
        <f>IF(Y229=0,0,AA229/Y229)</f>
        <v/>
      </c>
      <c r="AC229">
        <f>MAX(0,T229-S229)</f>
        <v/>
      </c>
      <c r="AD229">
        <f>UPPER(TRIM(J229))&amp;"|"&amp;UPPER(TRIM(B229))&amp;"|"&amp;TEXT(C229,"yyyymmdd")&amp;"|"&amp;UPPER(TRIM(G229))</f>
        <v/>
      </c>
      <c r="AE229">
        <f>COUNTIF($AD$2:$AD$241,AD229)</f>
        <v/>
      </c>
    </row>
    <row r="230">
      <c r="A230" t="n">
        <v>229</v>
      </c>
      <c r="B230" t="inlineStr">
        <is>
          <t>OP-000229</t>
        </is>
      </c>
      <c r="C230" s="12" t="n">
        <v>46186</v>
      </c>
      <c r="D230" s="13" t="n">
        <v>0.3368055555555556</v>
      </c>
      <c r="E230" t="inlineStr">
        <is>
          <t>C-0020</t>
        </is>
      </c>
      <c r="F230" t="inlineStr">
        <is>
          <t>Cliente 20</t>
        </is>
      </c>
      <c r="G230" t="inlineStr">
        <is>
          <t>P-400</t>
        </is>
      </c>
      <c r="H230" t="inlineStr">
        <is>
          <t>Laptop</t>
        </is>
      </c>
      <c r="I230" t="inlineStr">
        <is>
          <t>Tecnologia</t>
        </is>
      </c>
      <c r="J230" t="inlineStr">
        <is>
          <t>Norte</t>
        </is>
      </c>
      <c r="K230" t="inlineStr">
        <is>
          <t>SUC-06</t>
        </is>
      </c>
      <c r="L230" t="inlineStr">
        <is>
          <t>Tienda</t>
        </is>
      </c>
      <c r="M230" t="inlineStr">
        <is>
          <t>Pendiente</t>
        </is>
      </c>
      <c r="N230" t="inlineStr">
        <is>
          <t>Alta</t>
        </is>
      </c>
      <c r="O230" t="n">
        <v>30</v>
      </c>
      <c r="P230" s="14" t="n">
        <v>7873</v>
      </c>
      <c r="Q230" s="15" t="n">
        <v>0.05</v>
      </c>
      <c r="R230" s="14" t="n">
        <v>4723.8</v>
      </c>
      <c r="S230" s="12" t="n">
        <v>46202</v>
      </c>
      <c r="T230" s="12" t="n">
        <v>46193</v>
      </c>
      <c r="U230" t="inlineStr">
        <is>
          <t>Resp 2</t>
        </is>
      </c>
      <c r="V230" t="inlineStr">
        <is>
          <t>archivo_02.csv</t>
        </is>
      </c>
      <c r="W230" s="14">
        <f>O230*P230</f>
        <v/>
      </c>
      <c r="X230" s="14">
        <f>W230*Q230</f>
        <v/>
      </c>
      <c r="Y230" s="14">
        <f>W230-X230</f>
        <v/>
      </c>
      <c r="Z230" s="14">
        <f>O230*R230</f>
        <v/>
      </c>
      <c r="AA230" s="14">
        <f>Y230-Z230</f>
        <v/>
      </c>
      <c r="AB230" s="15">
        <f>IF(Y230=0,0,AA230/Y230)</f>
        <v/>
      </c>
      <c r="AC230">
        <f>MAX(0,T230-S230)</f>
        <v/>
      </c>
      <c r="AD230">
        <f>UPPER(TRIM(J230))&amp;"|"&amp;UPPER(TRIM(B230))&amp;"|"&amp;TEXT(C230,"yyyymmdd")&amp;"|"&amp;UPPER(TRIM(G230))</f>
        <v/>
      </c>
      <c r="AE230">
        <f>COUNTIF($AD$2:$AD$241,AD230)</f>
        <v/>
      </c>
    </row>
    <row r="231">
      <c r="A231" t="n">
        <v>230</v>
      </c>
      <c r="B231" t="inlineStr">
        <is>
          <t>OP-000230</t>
        </is>
      </c>
      <c r="C231" s="12" t="n">
        <v>46193</v>
      </c>
      <c r="D231" s="13" t="n">
        <v>0.3819444444444444</v>
      </c>
      <c r="E231" t="inlineStr">
        <is>
          <t>C-0021</t>
        </is>
      </c>
      <c r="F231" t="inlineStr">
        <is>
          <t>Cliente 21</t>
        </is>
      </c>
      <c r="G231" t="inlineStr">
        <is>
          <t>P-500</t>
        </is>
      </c>
      <c r="H231" t="inlineStr">
        <is>
          <t>Dock</t>
        </is>
      </c>
      <c r="I231" t="inlineStr">
        <is>
          <t>Tecnologia</t>
        </is>
      </c>
      <c r="J231" t="inlineStr">
        <is>
          <t>Centro</t>
        </is>
      </c>
      <c r="K231" t="inlineStr">
        <is>
          <t>SUC-07</t>
        </is>
      </c>
      <c r="L231" t="inlineStr">
        <is>
          <t>Distribuidor</t>
        </is>
      </c>
      <c r="M231" t="inlineStr">
        <is>
          <t>Cancelado</t>
        </is>
      </c>
      <c r="N231" t="inlineStr">
        <is>
          <t>Media</t>
        </is>
      </c>
      <c r="O231" t="n">
        <v>33</v>
      </c>
      <c r="P231" s="14" t="n">
        <v>8010</v>
      </c>
      <c r="Q231" s="15" t="n">
        <v>0.1</v>
      </c>
      <c r="R231" s="14" t="n">
        <v>4886.1</v>
      </c>
      <c r="S231" s="12" t="n">
        <v>46200</v>
      </c>
      <c r="T231" s="12" t="n">
        <v>46201</v>
      </c>
      <c r="U231" t="inlineStr">
        <is>
          <t>Resp 3</t>
        </is>
      </c>
      <c r="V231" t="inlineStr">
        <is>
          <t>archivo_03.csv</t>
        </is>
      </c>
      <c r="W231" s="14">
        <f>O231*P231</f>
        <v/>
      </c>
      <c r="X231" s="14">
        <f>W231*Q231</f>
        <v/>
      </c>
      <c r="Y231" s="14">
        <f>W231-X231</f>
        <v/>
      </c>
      <c r="Z231" s="14">
        <f>O231*R231</f>
        <v/>
      </c>
      <c r="AA231" s="14">
        <f>Y231-Z231</f>
        <v/>
      </c>
      <c r="AB231" s="15">
        <f>IF(Y231=0,0,AA231/Y231)</f>
        <v/>
      </c>
      <c r="AC231">
        <f>MAX(0,T231-S231)</f>
        <v/>
      </c>
      <c r="AD231">
        <f>UPPER(TRIM(J231))&amp;"|"&amp;UPPER(TRIM(B231))&amp;"|"&amp;TEXT(C231,"yyyymmdd")&amp;"|"&amp;UPPER(TRIM(G231))</f>
        <v/>
      </c>
      <c r="AE231">
        <f>COUNTIF($AD$2:$AD$241,AD231)</f>
        <v/>
      </c>
    </row>
    <row r="232">
      <c r="A232" t="n">
        <v>231</v>
      </c>
      <c r="B232" t="inlineStr">
        <is>
          <t>OP-000231</t>
        </is>
      </c>
      <c r="C232" s="12" t="n">
        <v>46200</v>
      </c>
      <c r="D232" s="13" t="n">
        <v>0.4270833333333333</v>
      </c>
      <c r="E232" t="inlineStr">
        <is>
          <t>C-0022</t>
        </is>
      </c>
      <c r="F232" t="inlineStr">
        <is>
          <t>Cliente 22</t>
        </is>
      </c>
      <c r="G232" t="inlineStr">
        <is>
          <t>P-100</t>
        </is>
      </c>
      <c r="H232" t="inlineStr">
        <is>
          <t>Monitor 24</t>
        </is>
      </c>
      <c r="I232" t="inlineStr">
        <is>
          <t>Tecnologia</t>
        </is>
      </c>
      <c r="J232" t="inlineStr">
        <is>
          <t>Sur</t>
        </is>
      </c>
      <c r="K232" t="inlineStr">
        <is>
          <t>SUC-08</t>
        </is>
      </c>
      <c r="L232" t="inlineStr">
        <is>
          <t>Digital</t>
        </is>
      </c>
      <c r="M232" t="inlineStr">
        <is>
          <t>En revision</t>
        </is>
      </c>
      <c r="N232" t="inlineStr">
        <is>
          <t>Baja</t>
        </is>
      </c>
      <c r="O232" t="n">
        <v>36</v>
      </c>
      <c r="P232" s="14" t="n">
        <v>8147</v>
      </c>
      <c r="Q232" s="15" t="n">
        <v>0.15</v>
      </c>
      <c r="R232" s="14" t="n">
        <v>5051.14</v>
      </c>
      <c r="S232" s="12" t="n">
        <v>46208</v>
      </c>
      <c r="T232" s="12" t="n">
        <v>46209</v>
      </c>
      <c r="U232" t="inlineStr">
        <is>
          <t>Resp 4</t>
        </is>
      </c>
      <c r="V232" t="inlineStr">
        <is>
          <t>archivo_04.csv</t>
        </is>
      </c>
      <c r="W232" s="14">
        <f>O232*P232</f>
        <v/>
      </c>
      <c r="X232" s="14">
        <f>W232*Q232</f>
        <v/>
      </c>
      <c r="Y232" s="14">
        <f>W232-X232</f>
        <v/>
      </c>
      <c r="Z232" s="14">
        <f>O232*R232</f>
        <v/>
      </c>
      <c r="AA232" s="14">
        <f>Y232-Z232</f>
        <v/>
      </c>
      <c r="AB232" s="15">
        <f>IF(Y232=0,0,AA232/Y232)</f>
        <v/>
      </c>
      <c r="AC232">
        <f>MAX(0,T232-S232)</f>
        <v/>
      </c>
      <c r="AD232">
        <f>UPPER(TRIM(J232))&amp;"|"&amp;UPPER(TRIM(B232))&amp;"|"&amp;TEXT(C232,"yyyymmdd")&amp;"|"&amp;UPPER(TRIM(G232))</f>
        <v/>
      </c>
      <c r="AE232">
        <f>COUNTIF($AD$2:$AD$241,AD232)</f>
        <v/>
      </c>
    </row>
    <row r="233">
      <c r="A233" t="n">
        <v>232</v>
      </c>
      <c r="B233" t="inlineStr">
        <is>
          <t>OP-000232</t>
        </is>
      </c>
      <c r="C233" s="12" t="n">
        <v>46207</v>
      </c>
      <c r="D233" s="13" t="n">
        <v>0.4722222222222222</v>
      </c>
      <c r="E233" t="inlineStr">
        <is>
          <t>C-0023</t>
        </is>
      </c>
      <c r="F233" t="inlineStr">
        <is>
          <t>Cliente 23</t>
        </is>
      </c>
      <c r="G233" t="inlineStr">
        <is>
          <t>P-200</t>
        </is>
      </c>
      <c r="H233" t="inlineStr">
        <is>
          <t>Teclado</t>
        </is>
      </c>
      <c r="I233" t="inlineStr">
        <is>
          <t>Tecnologia</t>
        </is>
      </c>
      <c r="J233" t="inlineStr">
        <is>
          <t>Pacifico</t>
        </is>
      </c>
      <c r="K233" t="inlineStr">
        <is>
          <t>SUC-01</t>
        </is>
      </c>
      <c r="L233" t="inlineStr">
        <is>
          <t>Tienda</t>
        </is>
      </c>
      <c r="M233" t="inlineStr">
        <is>
          <t>Aprobado</t>
        </is>
      </c>
      <c r="N233" t="inlineStr">
        <is>
          <t>Critica</t>
        </is>
      </c>
      <c r="O233" t="n">
        <v>39</v>
      </c>
      <c r="P233" s="14" t="n">
        <v>8284</v>
      </c>
      <c r="Q233" s="15" t="n">
        <v>0</v>
      </c>
      <c r="R233" s="14" t="n">
        <v>4556.2</v>
      </c>
      <c r="S233" s="12" t="n">
        <v>46216</v>
      </c>
      <c r="T233" s="12" t="n">
        <v>46217</v>
      </c>
      <c r="U233" t="inlineStr">
        <is>
          <t>Resp 5</t>
        </is>
      </c>
      <c r="V233" t="inlineStr">
        <is>
          <t>archivo_05.csv</t>
        </is>
      </c>
      <c r="W233" s="14">
        <f>O233*P233</f>
        <v/>
      </c>
      <c r="X233" s="14">
        <f>W233*Q233</f>
        <v/>
      </c>
      <c r="Y233" s="14">
        <f>W233-X233</f>
        <v/>
      </c>
      <c r="Z233" s="14">
        <f>O233*R233</f>
        <v/>
      </c>
      <c r="AA233" s="14">
        <f>Y233-Z233</f>
        <v/>
      </c>
      <c r="AB233" s="15">
        <f>IF(Y233=0,0,AA233/Y233)</f>
        <v/>
      </c>
      <c r="AC233">
        <f>MAX(0,T233-S233)</f>
        <v/>
      </c>
      <c r="AD233">
        <f>UPPER(TRIM(J233))&amp;"|"&amp;UPPER(TRIM(B233))&amp;"|"&amp;TEXT(C233,"yyyymmdd")&amp;"|"&amp;UPPER(TRIM(G233))</f>
        <v/>
      </c>
      <c r="AE233">
        <f>COUNTIF($AD$2:$AD$241,AD233)</f>
        <v/>
      </c>
    </row>
    <row r="234">
      <c r="A234" t="n">
        <v>233</v>
      </c>
      <c r="B234" t="inlineStr">
        <is>
          <t>OP-000233</t>
        </is>
      </c>
      <c r="C234" s="12" t="n">
        <v>46214</v>
      </c>
      <c r="D234" s="13" t="n">
        <v>0.5173611111111112</v>
      </c>
      <c r="E234" t="inlineStr">
        <is>
          <t>C-0024</t>
        </is>
      </c>
      <c r="F234" t="inlineStr">
        <is>
          <t>Cliente 24</t>
        </is>
      </c>
      <c r="G234" t="inlineStr">
        <is>
          <t>P-300</t>
        </is>
      </c>
      <c r="H234" t="inlineStr">
        <is>
          <t>Mouse</t>
        </is>
      </c>
      <c r="I234" t="inlineStr">
        <is>
          <t>Tecnologia</t>
        </is>
      </c>
      <c r="J234" t="inlineStr">
        <is>
          <t>Norte</t>
        </is>
      </c>
      <c r="K234" t="inlineStr">
        <is>
          <t>SUC-02</t>
        </is>
      </c>
      <c r="L234" t="inlineStr">
        <is>
          <t>Distribuidor</t>
        </is>
      </c>
      <c r="M234" t="inlineStr">
        <is>
          <t>Pendiente</t>
        </is>
      </c>
      <c r="N234" t="inlineStr">
        <is>
          <t>Alta</t>
        </is>
      </c>
      <c r="O234" t="n">
        <v>42</v>
      </c>
      <c r="P234" s="14" t="n">
        <v>8421</v>
      </c>
      <c r="Q234" s="15" t="n">
        <v>0.05</v>
      </c>
      <c r="R234" s="14" t="n">
        <v>4715.76</v>
      </c>
      <c r="S234" s="12" t="n">
        <v>46224</v>
      </c>
      <c r="T234" s="12" t="n">
        <v>46225</v>
      </c>
      <c r="U234" t="inlineStr">
        <is>
          <t>Resp 6</t>
        </is>
      </c>
      <c r="V234" t="inlineStr">
        <is>
          <t>archivo_06.csv</t>
        </is>
      </c>
      <c r="W234" s="14">
        <f>O234*P234</f>
        <v/>
      </c>
      <c r="X234" s="14">
        <f>W234*Q234</f>
        <v/>
      </c>
      <c r="Y234" s="14">
        <f>W234-X234</f>
        <v/>
      </c>
      <c r="Z234" s="14">
        <f>O234*R234</f>
        <v/>
      </c>
      <c r="AA234" s="14">
        <f>Y234-Z234</f>
        <v/>
      </c>
      <c r="AB234" s="15">
        <f>IF(Y234=0,0,AA234/Y234)</f>
        <v/>
      </c>
      <c r="AC234">
        <f>MAX(0,T234-S234)</f>
        <v/>
      </c>
      <c r="AD234">
        <f>UPPER(TRIM(J234))&amp;"|"&amp;UPPER(TRIM(B234))&amp;"|"&amp;TEXT(C234,"yyyymmdd")&amp;"|"&amp;UPPER(TRIM(G234))</f>
        <v/>
      </c>
      <c r="AE234">
        <f>COUNTIF($AD$2:$AD$241,AD234)</f>
        <v/>
      </c>
    </row>
    <row r="235">
      <c r="A235" t="n">
        <v>234</v>
      </c>
      <c r="B235" t="inlineStr">
        <is>
          <t>OP-000234</t>
        </is>
      </c>
      <c r="C235" s="12" t="n">
        <v>46221</v>
      </c>
      <c r="D235" s="13" t="n">
        <v>0.5625</v>
      </c>
      <c r="E235" t="inlineStr">
        <is>
          <t>C-0025</t>
        </is>
      </c>
      <c r="F235" t="inlineStr">
        <is>
          <t>Cliente 25</t>
        </is>
      </c>
      <c r="G235" t="inlineStr">
        <is>
          <t>P-400</t>
        </is>
      </c>
      <c r="H235" t="inlineStr">
        <is>
          <t>Laptop</t>
        </is>
      </c>
      <c r="I235" t="inlineStr">
        <is>
          <t>Tecnologia</t>
        </is>
      </c>
      <c r="J235" t="inlineStr">
        <is>
          <t>Centro</t>
        </is>
      </c>
      <c r="K235" t="inlineStr">
        <is>
          <t>SUC-03</t>
        </is>
      </c>
      <c r="L235" t="inlineStr">
        <is>
          <t>Digital</t>
        </is>
      </c>
      <c r="M235" t="inlineStr">
        <is>
          <t>Cancelado</t>
        </is>
      </c>
      <c r="N235" t="inlineStr">
        <is>
          <t>Media</t>
        </is>
      </c>
      <c r="O235" t="n">
        <v>45</v>
      </c>
      <c r="P235" s="14" t="n">
        <v>8558</v>
      </c>
      <c r="Q235" s="15" t="n">
        <v>0.1</v>
      </c>
      <c r="R235" s="14" t="n">
        <v>4878.06</v>
      </c>
      <c r="S235" s="12" t="n">
        <v>46232</v>
      </c>
      <c r="T235" s="12" t="n">
        <v>46233</v>
      </c>
      <c r="U235" t="inlineStr">
        <is>
          <t>Resp 7</t>
        </is>
      </c>
      <c r="V235" t="inlineStr">
        <is>
          <t>archivo_01.csv</t>
        </is>
      </c>
      <c r="W235" s="14">
        <f>O235*P235</f>
        <v/>
      </c>
      <c r="X235" s="14">
        <f>W235*Q235</f>
        <v/>
      </c>
      <c r="Y235" s="14">
        <f>W235-X235</f>
        <v/>
      </c>
      <c r="Z235" s="14">
        <f>O235*R235</f>
        <v/>
      </c>
      <c r="AA235" s="14">
        <f>Y235-Z235</f>
        <v/>
      </c>
      <c r="AB235" s="15">
        <f>IF(Y235=0,0,AA235/Y235)</f>
        <v/>
      </c>
      <c r="AC235">
        <f>MAX(0,T235-S235)</f>
        <v/>
      </c>
      <c r="AD235">
        <f>UPPER(TRIM(J235))&amp;"|"&amp;UPPER(TRIM(B235))&amp;"|"&amp;TEXT(C235,"yyyymmdd")&amp;"|"&amp;UPPER(TRIM(G235))</f>
        <v/>
      </c>
      <c r="AE235">
        <f>COUNTIF($AD$2:$AD$241,AD235)</f>
        <v/>
      </c>
    </row>
    <row r="236">
      <c r="A236" t="n">
        <v>235</v>
      </c>
      <c r="B236" t="inlineStr">
        <is>
          <t>OP-000235</t>
        </is>
      </c>
      <c r="C236" s="12" t="n">
        <v>46228</v>
      </c>
      <c r="D236" s="13" t="n">
        <v>0.6076388888888888</v>
      </c>
      <c r="E236" t="inlineStr">
        <is>
          <t>C-0026</t>
        </is>
      </c>
      <c r="F236" t="inlineStr">
        <is>
          <t>Cliente 26</t>
        </is>
      </c>
      <c r="G236" t="inlineStr">
        <is>
          <t>P-500</t>
        </is>
      </c>
      <c r="H236" t="inlineStr">
        <is>
          <t>Dock</t>
        </is>
      </c>
      <c r="I236" t="inlineStr">
        <is>
          <t>Tecnologia</t>
        </is>
      </c>
      <c r="J236" t="inlineStr">
        <is>
          <t>Sur</t>
        </is>
      </c>
      <c r="K236" t="inlineStr">
        <is>
          <t>SUC-04</t>
        </is>
      </c>
      <c r="L236" t="inlineStr">
        <is>
          <t>Tienda</t>
        </is>
      </c>
      <c r="M236" t="inlineStr">
        <is>
          <t>En revision</t>
        </is>
      </c>
      <c r="N236" t="inlineStr">
        <is>
          <t>Baja</t>
        </is>
      </c>
      <c r="O236" t="n">
        <v>1</v>
      </c>
      <c r="P236" s="14" t="n">
        <v>8695</v>
      </c>
      <c r="Q236" s="15" t="n">
        <v>0.15</v>
      </c>
      <c r="R236" s="14" t="n">
        <v>5043.1</v>
      </c>
      <c r="S236" s="12" t="n">
        <v>46240</v>
      </c>
      <c r="T236" s="12" t="n">
        <v>46241</v>
      </c>
      <c r="U236" t="inlineStr">
        <is>
          <t>Resp 8</t>
        </is>
      </c>
      <c r="V236" t="inlineStr">
        <is>
          <t>archivo_02.csv</t>
        </is>
      </c>
      <c r="W236" s="14">
        <f>O236*P236</f>
        <v/>
      </c>
      <c r="X236" s="14">
        <f>W236*Q236</f>
        <v/>
      </c>
      <c r="Y236" s="14">
        <f>W236-X236</f>
        <v/>
      </c>
      <c r="Z236" s="14">
        <f>O236*R236</f>
        <v/>
      </c>
      <c r="AA236" s="14">
        <f>Y236-Z236</f>
        <v/>
      </c>
      <c r="AB236" s="15">
        <f>IF(Y236=0,0,AA236/Y236)</f>
        <v/>
      </c>
      <c r="AC236">
        <f>MAX(0,T236-S236)</f>
        <v/>
      </c>
      <c r="AD236">
        <f>UPPER(TRIM(J236))&amp;"|"&amp;UPPER(TRIM(B236))&amp;"|"&amp;TEXT(C236,"yyyymmdd")&amp;"|"&amp;UPPER(TRIM(G236))</f>
        <v/>
      </c>
      <c r="AE236">
        <f>COUNTIF($AD$2:$AD$241,AD236)</f>
        <v/>
      </c>
    </row>
    <row r="237">
      <c r="A237" t="n">
        <v>236</v>
      </c>
      <c r="B237" t="inlineStr">
        <is>
          <t>OP-000236</t>
        </is>
      </c>
      <c r="C237" s="12" t="n">
        <v>46235</v>
      </c>
      <c r="D237" s="13" t="n">
        <v>0.6527777777777778</v>
      </c>
      <c r="E237" t="inlineStr">
        <is>
          <t>C-0027</t>
        </is>
      </c>
      <c r="F237" t="inlineStr">
        <is>
          <t>Cliente 27</t>
        </is>
      </c>
      <c r="G237" t="inlineStr">
        <is>
          <t>P-100</t>
        </is>
      </c>
      <c r="H237" t="inlineStr">
        <is>
          <t>Monitor 24</t>
        </is>
      </c>
      <c r="I237" t="inlineStr">
        <is>
          <t>Tecnologia</t>
        </is>
      </c>
      <c r="J237" t="inlineStr">
        <is>
          <t>Pacifico</t>
        </is>
      </c>
      <c r="K237" t="inlineStr">
        <is>
          <t>SUC-05</t>
        </is>
      </c>
      <c r="L237" t="inlineStr">
        <is>
          <t>Distribuidor</t>
        </is>
      </c>
      <c r="M237" t="inlineStr">
        <is>
          <t>Aprobado</t>
        </is>
      </c>
      <c r="N237" t="inlineStr">
        <is>
          <t>Critica</t>
        </is>
      </c>
      <c r="O237" t="n">
        <v>4</v>
      </c>
      <c r="P237" s="14" t="n">
        <v>8832</v>
      </c>
      <c r="Q237" s="15" t="n">
        <v>0</v>
      </c>
      <c r="R237" s="14" t="n">
        <v>5210.88</v>
      </c>
      <c r="S237" s="12" t="n">
        <v>46248</v>
      </c>
      <c r="T237" s="12" t="n">
        <v>46249</v>
      </c>
      <c r="U237" t="inlineStr">
        <is>
          <t>Resp 9</t>
        </is>
      </c>
      <c r="V237" t="inlineStr">
        <is>
          <t>archivo_03.csv</t>
        </is>
      </c>
      <c r="W237" s="14">
        <f>O237*P237</f>
        <v/>
      </c>
      <c r="X237" s="14">
        <f>W237*Q237</f>
        <v/>
      </c>
      <c r="Y237" s="14">
        <f>W237-X237</f>
        <v/>
      </c>
      <c r="Z237" s="14">
        <f>O237*R237</f>
        <v/>
      </c>
      <c r="AA237" s="14">
        <f>Y237-Z237</f>
        <v/>
      </c>
      <c r="AB237" s="15">
        <f>IF(Y237=0,0,AA237/Y237)</f>
        <v/>
      </c>
      <c r="AC237">
        <f>MAX(0,T237-S237)</f>
        <v/>
      </c>
      <c r="AD237">
        <f>UPPER(TRIM(J237))&amp;"|"&amp;UPPER(TRIM(B237))&amp;"|"&amp;TEXT(C237,"yyyymmdd")&amp;"|"&amp;UPPER(TRIM(G237))</f>
        <v/>
      </c>
      <c r="AE237">
        <f>COUNTIF($AD$2:$AD$241,AD237)</f>
        <v/>
      </c>
    </row>
    <row r="238">
      <c r="A238" t="n">
        <v>237</v>
      </c>
      <c r="B238" t="inlineStr">
        <is>
          <t>OP-000237</t>
        </is>
      </c>
      <c r="C238" s="12" t="n">
        <v>46242</v>
      </c>
      <c r="D238" s="13" t="n">
        <v>0.6979166666666666</v>
      </c>
      <c r="E238" t="inlineStr">
        <is>
          <t>C-0028</t>
        </is>
      </c>
      <c r="F238" t="inlineStr">
        <is>
          <t>Cliente 28</t>
        </is>
      </c>
      <c r="G238" t="inlineStr">
        <is>
          <t>P-200</t>
        </is>
      </c>
      <c r="H238" t="inlineStr">
        <is>
          <t>Teclado</t>
        </is>
      </c>
      <c r="I238" t="inlineStr">
        <is>
          <t>Tecnologia</t>
        </is>
      </c>
      <c r="J238" t="inlineStr">
        <is>
          <t>Norte</t>
        </is>
      </c>
      <c r="K238" t="inlineStr">
        <is>
          <t>SUC-06</t>
        </is>
      </c>
      <c r="L238" t="inlineStr">
        <is>
          <t>Digital</t>
        </is>
      </c>
      <c r="M238" t="inlineStr">
        <is>
          <t>Pendiente</t>
        </is>
      </c>
      <c r="N238" t="inlineStr">
        <is>
          <t>Alta</t>
        </is>
      </c>
      <c r="O238" t="n">
        <v>7</v>
      </c>
      <c r="P238" s="14" t="n">
        <v>8969</v>
      </c>
      <c r="Q238" s="15" t="n">
        <v>0.05</v>
      </c>
      <c r="R238" s="14" t="n">
        <v>5381.4</v>
      </c>
      <c r="S238" s="12" t="n">
        <v>46256</v>
      </c>
      <c r="T238" s="12" t="n">
        <v>46257</v>
      </c>
      <c r="U238" t="inlineStr">
        <is>
          <t>Resp 10</t>
        </is>
      </c>
      <c r="V238" t="inlineStr">
        <is>
          <t>archivo_04.csv</t>
        </is>
      </c>
      <c r="W238" s="14">
        <f>O238*P238</f>
        <v/>
      </c>
      <c r="X238" s="14">
        <f>W238*Q238</f>
        <v/>
      </c>
      <c r="Y238" s="14">
        <f>W238-X238</f>
        <v/>
      </c>
      <c r="Z238" s="14">
        <f>O238*R238</f>
        <v/>
      </c>
      <c r="AA238" s="14">
        <f>Y238-Z238</f>
        <v/>
      </c>
      <c r="AB238" s="15">
        <f>IF(Y238=0,0,AA238/Y238)</f>
        <v/>
      </c>
      <c r="AC238">
        <f>MAX(0,T238-S238)</f>
        <v/>
      </c>
      <c r="AD238">
        <f>UPPER(TRIM(J238))&amp;"|"&amp;UPPER(TRIM(B238))&amp;"|"&amp;TEXT(C238,"yyyymmdd")&amp;"|"&amp;UPPER(TRIM(G238))</f>
        <v/>
      </c>
      <c r="AE238">
        <f>COUNTIF($AD$2:$AD$241,AD238)</f>
        <v/>
      </c>
    </row>
    <row r="239">
      <c r="A239" t="n">
        <v>238</v>
      </c>
      <c r="B239" t="inlineStr">
        <is>
          <t>OP-000238</t>
        </is>
      </c>
      <c r="C239" s="12" t="n">
        <v>46249</v>
      </c>
      <c r="D239" s="13" t="n">
        <v>0.7430555555555556</v>
      </c>
      <c r="E239" t="inlineStr">
        <is>
          <t>C-0029</t>
        </is>
      </c>
      <c r="F239" t="inlineStr">
        <is>
          <t>Cliente 29</t>
        </is>
      </c>
      <c r="G239" t="inlineStr">
        <is>
          <t>P-300</t>
        </is>
      </c>
      <c r="H239" t="inlineStr">
        <is>
          <t>Mouse</t>
        </is>
      </c>
      <c r="I239" t="inlineStr">
        <is>
          <t>Tecnologia</t>
        </is>
      </c>
      <c r="J239" t="inlineStr">
        <is>
          <t>Centro</t>
        </is>
      </c>
      <c r="K239" t="inlineStr">
        <is>
          <t>SUC-07</t>
        </is>
      </c>
      <c r="L239" t="inlineStr">
        <is>
          <t>Tienda</t>
        </is>
      </c>
      <c r="M239" t="inlineStr">
        <is>
          <t>Cancelado</t>
        </is>
      </c>
      <c r="N239" t="inlineStr">
        <is>
          <t>Media</t>
        </is>
      </c>
      <c r="O239" t="n">
        <v>10</v>
      </c>
      <c r="P239" s="14" t="n">
        <v>9106</v>
      </c>
      <c r="Q239" s="15" t="n">
        <v>0.1</v>
      </c>
      <c r="R239" s="14" t="n">
        <v>5554.66</v>
      </c>
      <c r="S239" s="12" t="n">
        <v>46264</v>
      </c>
      <c r="T239" s="12" t="n">
        <v>46265</v>
      </c>
      <c r="U239" t="inlineStr">
        <is>
          <t>Resp 11</t>
        </is>
      </c>
      <c r="V239" t="inlineStr">
        <is>
          <t>archivo_05.csv</t>
        </is>
      </c>
      <c r="W239" s="14">
        <f>O239*P239</f>
        <v/>
      </c>
      <c r="X239" s="14">
        <f>W239*Q239</f>
        <v/>
      </c>
      <c r="Y239" s="14">
        <f>W239-X239</f>
        <v/>
      </c>
      <c r="Z239" s="14">
        <f>O239*R239</f>
        <v/>
      </c>
      <c r="AA239" s="14">
        <f>Y239-Z239</f>
        <v/>
      </c>
      <c r="AB239" s="15">
        <f>IF(Y239=0,0,AA239/Y239)</f>
        <v/>
      </c>
      <c r="AC239">
        <f>MAX(0,T239-S239)</f>
        <v/>
      </c>
      <c r="AD239">
        <f>UPPER(TRIM(J239))&amp;"|"&amp;UPPER(TRIM(B239))&amp;"|"&amp;TEXT(C239,"yyyymmdd")&amp;"|"&amp;UPPER(TRIM(G239))</f>
        <v/>
      </c>
      <c r="AE239">
        <f>COUNTIF($AD$2:$AD$241,AD239)</f>
        <v/>
      </c>
    </row>
    <row r="240">
      <c r="A240" t="n">
        <v>239</v>
      </c>
      <c r="B240" t="inlineStr">
        <is>
          <t>OP-000239</t>
        </is>
      </c>
      <c r="C240" s="12" t="n">
        <v>46256</v>
      </c>
      <c r="D240" s="13" t="n">
        <v>0.7881944444444444</v>
      </c>
      <c r="E240" t="inlineStr">
        <is>
          <t>C-0030</t>
        </is>
      </c>
      <c r="F240" t="inlineStr">
        <is>
          <t>Cliente 30</t>
        </is>
      </c>
      <c r="G240" t="inlineStr">
        <is>
          <t>P-400</t>
        </is>
      </c>
      <c r="H240" t="inlineStr">
        <is>
          <t>Laptop</t>
        </is>
      </c>
      <c r="I240" t="inlineStr">
        <is>
          <t>Tecnologia</t>
        </is>
      </c>
      <c r="J240" t="inlineStr">
        <is>
          <t>Sur</t>
        </is>
      </c>
      <c r="K240" t="inlineStr">
        <is>
          <t>SUC-08</t>
        </is>
      </c>
      <c r="L240" t="inlineStr">
        <is>
          <t>Distribuidor</t>
        </is>
      </c>
      <c r="M240" t="inlineStr">
        <is>
          <t>En revision</t>
        </is>
      </c>
      <c r="N240" t="inlineStr">
        <is>
          <t>Baja</t>
        </is>
      </c>
      <c r="O240" t="n">
        <v>13</v>
      </c>
      <c r="P240" s="14" t="n">
        <v>9243</v>
      </c>
      <c r="Q240" s="15" t="n">
        <v>0.15</v>
      </c>
      <c r="R240" s="14" t="n">
        <v>5730.66</v>
      </c>
      <c r="S240" s="12" t="n">
        <v>46272</v>
      </c>
      <c r="T240" s="12" t="n">
        <v>46273</v>
      </c>
      <c r="U240" t="inlineStr">
        <is>
          <t>Resp 12</t>
        </is>
      </c>
      <c r="V240" t="inlineStr">
        <is>
          <t>archivo_06.csv</t>
        </is>
      </c>
      <c r="W240" s="14">
        <f>O240*P240</f>
        <v/>
      </c>
      <c r="X240" s="14">
        <f>W240*Q240</f>
        <v/>
      </c>
      <c r="Y240" s="14">
        <f>W240-X240</f>
        <v/>
      </c>
      <c r="Z240" s="14">
        <f>O240*R240</f>
        <v/>
      </c>
      <c r="AA240" s="14">
        <f>Y240-Z240</f>
        <v/>
      </c>
      <c r="AB240" s="15">
        <f>IF(Y240=0,0,AA240/Y240)</f>
        <v/>
      </c>
      <c r="AC240">
        <f>MAX(0,T240-S240)</f>
        <v/>
      </c>
      <c r="AD240">
        <f>UPPER(TRIM(J240))&amp;"|"&amp;UPPER(TRIM(B240))&amp;"|"&amp;TEXT(C240,"yyyymmdd")&amp;"|"&amp;UPPER(TRIM(G240))</f>
        <v/>
      </c>
      <c r="AE240">
        <f>COUNTIF($AD$2:$AD$241,AD240)</f>
        <v/>
      </c>
    </row>
    <row r="241">
      <c r="A241" t="n">
        <v>240</v>
      </c>
      <c r="B241" t="inlineStr">
        <is>
          <t>OP-000240</t>
        </is>
      </c>
      <c r="C241" s="12" t="n">
        <v>46023</v>
      </c>
      <c r="D241" s="13" t="n">
        <v>0.2916666666666667</v>
      </c>
      <c r="E241" t="inlineStr">
        <is>
          <t>C-0031</t>
        </is>
      </c>
      <c r="F241" t="inlineStr">
        <is>
          <t>Cliente 31</t>
        </is>
      </c>
      <c r="G241" t="inlineStr">
        <is>
          <t>P-500</t>
        </is>
      </c>
      <c r="H241" t="inlineStr">
        <is>
          <t>Dock</t>
        </is>
      </c>
      <c r="I241" t="inlineStr">
        <is>
          <t>Tecnologia</t>
        </is>
      </c>
      <c r="J241" t="inlineStr">
        <is>
          <t>Pacifico</t>
        </is>
      </c>
      <c r="K241" t="inlineStr">
        <is>
          <t>SUC-01</t>
        </is>
      </c>
      <c r="L241" t="inlineStr">
        <is>
          <t>Digital</t>
        </is>
      </c>
      <c r="M241" t="inlineStr">
        <is>
          <t>Aprobado</t>
        </is>
      </c>
      <c r="N241" t="inlineStr">
        <is>
          <t>Critica</t>
        </is>
      </c>
      <c r="O241" t="n">
        <v>16</v>
      </c>
      <c r="P241" s="14" t="n">
        <v>9380</v>
      </c>
      <c r="Q241" s="15" t="n">
        <v>0</v>
      </c>
      <c r="R241" s="14" t="n">
        <v>5159</v>
      </c>
      <c r="S241" s="12" t="n">
        <v>46030</v>
      </c>
      <c r="T241" s="12" t="n">
        <v>46026</v>
      </c>
      <c r="U241" t="inlineStr">
        <is>
          <t>Resp 1</t>
        </is>
      </c>
      <c r="V241" t="inlineStr">
        <is>
          <t>archivo_01.csv</t>
        </is>
      </c>
      <c r="W241" s="14">
        <f>O241*P241</f>
        <v/>
      </c>
      <c r="X241" s="14">
        <f>W241*Q241</f>
        <v/>
      </c>
      <c r="Y241" s="14">
        <f>W241-X241</f>
        <v/>
      </c>
      <c r="Z241" s="14">
        <f>O241*R241</f>
        <v/>
      </c>
      <c r="AA241" s="14">
        <f>Y241-Z241</f>
        <v/>
      </c>
      <c r="AB241" s="15">
        <f>IF(Y241=0,0,AA241/Y241)</f>
        <v/>
      </c>
      <c r="AC241">
        <f>MAX(0,T241-S241)</f>
        <v/>
      </c>
      <c r="AD241">
        <f>UPPER(TRIM(J241))&amp;"|"&amp;UPPER(TRIM(B241))&amp;"|"&amp;TEXT(C241,"yyyymmdd")&amp;"|"&amp;UPPER(TRIM(G241))</f>
        <v/>
      </c>
      <c r="AE241">
        <f>COUNTIF($AD$2:$AD$241,AD241)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240</v>
      </c>
    </row>
    <row r="5">
      <c r="A5" t="inlineStr">
        <is>
          <t>Registros obtenidos</t>
        </is>
      </c>
      <c r="B5" t="n">
        <v>240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2026-09-04T01:46:09Z</dcterms:created>
  <dcterms:modified xmlns:dcterms="http://purl.org/dc/terms/" xmlns:xsi="http://www.w3.org/2001/XMLSchema-instance" xsi:type="dcterms:W3CDTF">2026-09-04T01:46:09Z</dcterms:modified>
</cp:coreProperties>
</file>