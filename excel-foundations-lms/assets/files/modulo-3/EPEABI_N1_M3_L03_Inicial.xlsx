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Leeme" sheetId="1" state="visible" r:id="rId1"/>
    <sheet xmlns:r="http://schemas.openxmlformats.org/officeDocument/2006/relationships" name="02_Parametros" sheetId="2" state="visible" r:id="rId2"/>
    <sheet xmlns:r="http://schemas.openxmlformats.org/officeDocument/2006/relationships" name="01_Tareas" sheetId="3" state="visible" r:id="rId3"/>
    <sheet xmlns:r="http://schemas.openxmlformats.org/officeDocument/2006/relationships" name="03_Operaciones" sheetId="4" state="visible" r:id="rId4"/>
    <sheet xmlns:r="http://schemas.openxmlformats.org/officeDocument/2006/relationships" name="10_Auditoria" sheetId="5" state="visible" r:id="rId5"/>
    <sheet xmlns:r="http://schemas.openxmlformats.org/officeDocument/2006/relationships" name="12_Control_Final" sheetId="6" state="visible" r:id="rId6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0.0%"/>
    <numFmt numFmtId="166" formatCode="dd/mm/yyyy"/>
    <numFmt numFmtId="167" formatCode="hh:mm"/>
    <numFmt numFmtId="168" formatCode="$#,##0.00;[Red]($#,##0.00);-"/>
  </numFmts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b val="1"/>
      <color rgb="0017365D"/>
    </font>
    <font>
      <b val="1"/>
      <color rgb="00FFFFFF"/>
    </font>
    <font>
      <color rgb="000000FF"/>
    </font>
    <font>
      <color rgb="00808080"/>
    </font>
    <font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4B183"/>
      </patternFill>
    </fill>
    <fill>
      <patternFill patternType="solid">
        <fgColor rgb="00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3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166" fontId="5" fillId="0" borderId="0" pivotButton="0" quotePrefix="0" xfId="0"/>
    <xf numFmtId="167" fontId="5" fillId="0" borderId="0" pivotButton="0" quotePrefix="0" xfId="0"/>
    <xf numFmtId="0" fontId="0" fillId="4" borderId="0" pivotButton="0" quotePrefix="0" xfId="0"/>
    <xf numFmtId="0" fontId="4" fillId="2" borderId="0" applyAlignment="1" pivotButton="0" quotePrefix="0" xfId="0">
      <alignment horizontal="center"/>
    </xf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5" fontId="0" fillId="0" borderId="0" pivotButton="0" quotePrefix="0" xfId="0"/>
    <xf numFmtId="0" fontId="7" fillId="5" borderId="0" pivotButton="0" quotePrefix="0" xfId="0"/>
    <xf numFmtId="168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blOperacionesL03" displayName="tblOperacionesL03" ref="A1:AE121" headerRowCount="1">
  <autoFilter ref="A1:AE121"/>
  <tableColumns count="31">
    <tableColumn id="1" name="Orden_Original"/>
    <tableColumn id="2" name="Folio"/>
    <tableColumn id="3" name="Fecha_Operacion"/>
    <tableColumn id="4" name="Hora_Operacion"/>
    <tableColumn id="5" name="Codigo_Cliente"/>
    <tableColumn id="6" name="Cliente"/>
    <tableColumn id="7" name="Codigo_Producto"/>
    <tableColumn id="8" name="Producto"/>
    <tableColumn id="9" name="Categoria"/>
    <tableColumn id="10" name="Region"/>
    <tableColumn id="11" name="Sucursal"/>
    <tableColumn id="12" name="Canal"/>
    <tableColumn id="13" name="Estado"/>
    <tableColumn id="14" name="Prioridad"/>
    <tableColumn id="15" name="Cantidad"/>
    <tableColumn id="16" name="Precio_Unitario"/>
    <tableColumn id="17" name="Porcentaje_Descuento"/>
    <tableColumn id="18" name="Costo_Unitario"/>
    <tableColumn id="19" name="Fecha_Compromiso"/>
    <tableColumn id="20" name="Fecha_Entrega"/>
    <tableColumn id="21" name="Responsable"/>
    <tableColumn id="22" name="Archivo_Origen"/>
    <tableColumn id="23" name="Importe_Bruto"/>
    <tableColumn id="24" name="Importe_Descuento"/>
    <tableColumn id="25" name="Venta_Neta"/>
    <tableColumn id="26" name="Costo_Total"/>
    <tableColumn id="27" name="Utilidad"/>
    <tableColumn id="28" name="Margen"/>
    <tableColumn id="29" name="Dias_Atraso"/>
    <tableColumn id="30" name="Clave_Duplicado"/>
    <tableColumn id="31" name="Conteo_Clav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 ht="24" customHeight="1">
      <c r="A1" s="1" t="inlineStr">
        <is>
          <t>EPEABI | Modulo 3 | Leccion 03</t>
        </is>
      </c>
    </row>
    <row r="2">
      <c r="A2" s="2" t="inlineStr">
        <is>
          <t>Creacion, nombres y administracion de tablas</t>
        </is>
      </c>
    </row>
    <row r="4">
      <c r="A4" s="3" t="inlineStr">
        <is>
          <t>Tipo de archivo</t>
        </is>
      </c>
      <c r="B4" t="inlineStr">
        <is>
          <t>Archivo inicial</t>
        </is>
      </c>
    </row>
    <row r="5">
      <c r="A5" s="3" t="inlineStr">
        <is>
          <t>Objetivo</t>
        </is>
      </c>
      <c r="B5" t="inlineStr">
        <is>
          <t>Creacion, nombres y administracion de tablas</t>
        </is>
      </c>
    </row>
    <row r="6">
      <c r="A6" s="3" t="inlineStr">
        <is>
          <t>Instruccion</t>
        </is>
      </c>
      <c r="B6" t="inlineStr">
        <is>
          <t>Trabaje solo en las hojas autorizadas y conserve la evidencia.</t>
        </is>
      </c>
    </row>
    <row r="7">
      <c r="A7" s="3" t="inlineStr">
        <is>
          <t>Criterio de exito</t>
        </is>
      </c>
      <c r="B7" t="inlineStr">
        <is>
          <t>Complete las tareas, documente hallazgos y obtenga diferencias iguales a cero.</t>
        </is>
      </c>
    </row>
    <row r="8">
      <c r="A8" s="3" t="inlineStr">
        <is>
          <t>Aviso</t>
        </is>
      </c>
      <c r="B8" t="inlineStr">
        <is>
          <t>Material academico independiente con enfoque de preparacion basada en desempeno.</t>
        </is>
      </c>
    </row>
    <row r="9">
      <c r="A9" s="3" t="inlineStr">
        <is>
          <t>Version</t>
        </is>
      </c>
      <c r="B9" t="inlineStr">
        <is>
          <t>1.0</t>
        </is>
      </c>
    </row>
    <row r="10">
      <c r="A10" s="3" t="inlineStr">
        <is>
          <t>Fecha</t>
        </is>
      </c>
      <c r="B10" t="inlineStr">
        <is>
          <t>Septiembre de 2026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18" customWidth="1" min="4" max="4"/>
  </cols>
  <sheetData>
    <row r="1" ht="24" customHeight="1">
      <c r="A1" s="1" t="inlineStr">
        <is>
          <t>Parametros del ejercicio</t>
        </is>
      </c>
    </row>
    <row r="2">
      <c r="A2" t="inlineStr">
        <is>
          <t>Parametro</t>
        </is>
      </c>
      <c r="B2" t="inlineStr">
        <is>
          <t>Valor</t>
        </is>
      </c>
      <c r="C2" t="inlineStr">
        <is>
          <t>Unidad</t>
        </is>
      </c>
      <c r="D2" t="inlineStr">
        <is>
          <t>Estado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  <row r="4">
      <c r="A4" t="inlineStr">
        <is>
          <t>Venta_Minima</t>
        </is>
      </c>
      <c r="B4" s="5" t="n">
        <v>50000</v>
      </c>
      <c r="C4" t="inlineStr">
        <is>
          <t>MXN</t>
        </is>
      </c>
      <c r="D4" s="6" t="inlineStr">
        <is>
          <t>Autorizado</t>
        </is>
      </c>
    </row>
    <row r="5">
      <c r="A5" t="inlineStr">
        <is>
          <t>Venta_Maxima</t>
        </is>
      </c>
      <c r="B5" s="5" t="n">
        <v>75000</v>
      </c>
      <c r="C5" t="inlineStr">
        <is>
          <t>MXN</t>
        </is>
      </c>
      <c r="D5" s="6" t="inlineStr">
        <is>
          <t>Autorizado</t>
        </is>
      </c>
    </row>
    <row r="6">
      <c r="A6" t="inlineStr">
        <is>
          <t>Margen_Minimo</t>
        </is>
      </c>
      <c r="B6" s="7" t="n">
        <v>0.15</v>
      </c>
      <c r="C6" t="inlineStr">
        <is>
          <t>%</t>
        </is>
      </c>
      <c r="D6" s="6" t="inlineStr">
        <is>
          <t>Autorizado</t>
        </is>
      </c>
    </row>
    <row r="7">
      <c r="A7" t="inlineStr">
        <is>
          <t>Descuento_Maximo</t>
        </is>
      </c>
      <c r="B7" s="7" t="n">
        <v>0.15</v>
      </c>
      <c r="C7" t="inlineStr">
        <is>
          <t>%</t>
        </is>
      </c>
      <c r="D7" s="6" t="inlineStr">
        <is>
          <t>Autorizado</t>
        </is>
      </c>
    </row>
    <row r="8">
      <c r="A8" t="inlineStr">
        <is>
          <t>Dias_Atraso_Maximo</t>
        </is>
      </c>
      <c r="B8" s="5" t="n">
        <v>30</v>
      </c>
      <c r="C8" t="inlineStr">
        <is>
          <t>dias</t>
        </is>
      </c>
      <c r="D8" s="6" t="inlineStr">
        <is>
          <t>Autorizado</t>
        </is>
      </c>
    </row>
    <row r="9">
      <c r="A9" t="inlineStr">
        <is>
          <t>Fecha_Inicial</t>
        </is>
      </c>
      <c r="B9" s="8" t="n">
        <v>46235</v>
      </c>
      <c r="C9" t="inlineStr">
        <is>
          <t>fecha</t>
        </is>
      </c>
      <c r="D9" s="6" t="inlineStr">
        <is>
          <t>Autorizado</t>
        </is>
      </c>
    </row>
    <row r="10">
      <c r="A10" t="inlineStr">
        <is>
          <t>Fecha_Final</t>
        </is>
      </c>
      <c r="B10" s="8" t="n">
        <v>46265</v>
      </c>
      <c r="C10" t="inlineStr">
        <is>
          <t>fecha</t>
        </is>
      </c>
      <c r="D10" s="6" t="inlineStr">
        <is>
          <t>Autorizado</t>
        </is>
      </c>
    </row>
    <row r="11">
      <c r="A11" t="inlineStr">
        <is>
          <t>Fecha_Corte</t>
        </is>
      </c>
      <c r="B11" s="8" t="n">
        <v>46266</v>
      </c>
      <c r="C11" t="inlineStr">
        <is>
          <t>fecha</t>
        </is>
      </c>
      <c r="D11" s="6" t="inlineStr">
        <is>
          <t>Autorizado</t>
        </is>
      </c>
    </row>
    <row r="12">
      <c r="A12" t="inlineStr">
        <is>
          <t>Hora_Inicial</t>
        </is>
      </c>
      <c r="B12" s="9" t="n">
        <v>0.3333333333333333</v>
      </c>
      <c r="C12" t="inlineStr">
        <is>
          <t>hora</t>
        </is>
      </c>
      <c r="D12" s="6" t="inlineStr">
        <is>
          <t>Autorizado</t>
        </is>
      </c>
    </row>
    <row r="13">
      <c r="A13" t="inlineStr">
        <is>
          <t>Hora_Final</t>
        </is>
      </c>
      <c r="B13" s="9" t="n">
        <v>0.75</v>
      </c>
      <c r="C13" t="inlineStr">
        <is>
          <t>hora</t>
        </is>
      </c>
      <c r="D13" s="6" t="inlineStr">
        <is>
          <t>Autorizado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72" customWidth="1" min="2" max="2"/>
    <col width="30" customWidth="1" min="3" max="3"/>
    <col width="16" customWidth="1" min="4" max="4"/>
    <col width="12" customWidth="1" min="5" max="5"/>
  </cols>
  <sheetData>
    <row r="1" ht="24" customHeight="1">
      <c r="A1" s="1" t="inlineStr">
        <is>
          <t>Tareas | Leccion 03</t>
        </is>
      </c>
    </row>
    <row r="2">
      <c r="A2" s="2" t="inlineStr">
        <is>
          <t>Creacion, nombres y administracion de tablas</t>
        </is>
      </c>
    </row>
    <row r="3">
      <c r="A3" s="4" t="inlineStr">
        <is>
          <t>ID</t>
        </is>
      </c>
      <c r="B3" s="4" t="inlineStr">
        <is>
          <t>Tarea</t>
        </is>
      </c>
      <c r="C3" s="4" t="inlineStr">
        <is>
          <t>Evidencia requerida</t>
        </is>
      </c>
      <c r="D3" s="4" t="inlineStr">
        <is>
          <t>Estado</t>
        </is>
      </c>
      <c r="E3" s="4" t="inlineStr">
        <is>
          <t>Puntos</t>
        </is>
      </c>
      <c r="F3" s="4" t="n"/>
      <c r="G3" s="4" t="n"/>
      <c r="H3" s="4" t="n"/>
    </row>
    <row r="4">
      <c r="A4" t="inlineStr">
        <is>
          <t>T-01</t>
        </is>
      </c>
      <c r="B4" t="inlineStr">
        <is>
          <t>Preserve 01_Original y trabaje en la copia autorizada.</t>
        </is>
      </c>
      <c r="C4" t="inlineStr">
        <is>
          <t>Captura, formula o registro</t>
        </is>
      </c>
      <c r="D4" s="10" t="inlineStr">
        <is>
          <t>Pendiente</t>
        </is>
      </c>
      <c r="E4" t="n">
        <v>12.5</v>
      </c>
    </row>
    <row r="5">
      <c r="A5" t="inlineStr">
        <is>
          <t>T-02</t>
        </is>
      </c>
      <c r="B5" t="inlineStr">
        <is>
          <t>Compruebe encabezados, filtros, filas ocultas y ultima fila.</t>
        </is>
      </c>
      <c r="C5" t="inlineStr">
        <is>
          <t>Captura, formula o registro</t>
        </is>
      </c>
      <c r="D5" s="10" t="inlineStr">
        <is>
          <t>Pendiente</t>
        </is>
      </c>
      <c r="E5" t="n">
        <v>12.5</v>
      </c>
    </row>
    <row r="6">
      <c r="A6" t="inlineStr">
        <is>
          <t>T-03</t>
        </is>
      </c>
      <c r="B6" t="inlineStr">
        <is>
          <t>Registre controles iniciales y finales.</t>
        </is>
      </c>
      <c r="C6" t="inlineStr">
        <is>
          <t>Captura, formula o registro</t>
        </is>
      </c>
      <c r="D6" s="10" t="inlineStr">
        <is>
          <t>Pendiente</t>
        </is>
      </c>
      <c r="E6" t="n">
        <v>12.5</v>
      </c>
    </row>
    <row r="7">
      <c r="A7" t="inlineStr">
        <is>
          <t>T-04</t>
        </is>
      </c>
      <c r="B7" t="inlineStr">
        <is>
          <t>Cree y nombre una tabla.</t>
        </is>
      </c>
      <c r="C7" t="inlineStr">
        <is>
          <t>Captura, formula o registro</t>
        </is>
      </c>
      <c r="D7" s="10" t="inlineStr">
        <is>
          <t>Pendiente</t>
        </is>
      </c>
      <c r="E7" t="n">
        <v>12.5</v>
      </c>
    </row>
    <row r="8">
      <c r="A8" t="inlineStr">
        <is>
          <t>T-05</t>
        </is>
      </c>
      <c r="B8" t="inlineStr">
        <is>
          <t>Pruebe cambio de tamano y expansion.</t>
        </is>
      </c>
      <c r="C8" t="inlineStr">
        <is>
          <t>Captura, formula o registro</t>
        </is>
      </c>
      <c r="D8" s="10" t="inlineStr">
        <is>
          <t>Pendiente</t>
        </is>
      </c>
      <c r="E8" t="n">
        <v>12.5</v>
      </c>
    </row>
    <row r="9">
      <c r="A9" t="inlineStr">
        <is>
          <t>T-06</t>
        </is>
      </c>
      <c r="B9" t="inlineStr">
        <is>
          <t>Ejecute al menos tres casos de prueba.</t>
        </is>
      </c>
      <c r="C9" t="inlineStr">
        <is>
          <t>Captura, formula o registro</t>
        </is>
      </c>
      <c r="D9" s="10" t="inlineStr">
        <is>
          <t>Pendiente</t>
        </is>
      </c>
      <c r="E9" t="n">
        <v>12.5</v>
      </c>
    </row>
    <row r="10">
      <c r="A10" t="inlineStr">
        <is>
          <t>T-07</t>
        </is>
      </c>
      <c r="B10" t="inlineStr">
        <is>
          <t>Documente hallazgos, impacto y accion.</t>
        </is>
      </c>
      <c r="C10" t="inlineStr">
        <is>
          <t>Captura, formula o registro</t>
        </is>
      </c>
      <c r="D10" s="10" t="inlineStr">
        <is>
          <t>Pendiente</t>
        </is>
      </c>
      <c r="E10" t="n">
        <v>12.5</v>
      </c>
    </row>
    <row r="11">
      <c r="A11" t="inlineStr">
        <is>
          <t>T-08</t>
        </is>
      </c>
      <c r="B11" t="inlineStr">
        <is>
          <t>Deje todas las diferencias de conciliacion en cero.</t>
        </is>
      </c>
      <c r="C11" t="inlineStr">
        <is>
          <t>Captura, formula o registro</t>
        </is>
      </c>
      <c r="D11" s="10" t="inlineStr">
        <is>
          <t>Pendiente</t>
        </is>
      </c>
      <c r="E11" t="n">
        <v>12.5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20" customWidth="1" min="6" max="6"/>
    <col width="17" customWidth="1" min="7" max="7"/>
    <col width="22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45" customWidth="1" min="30" max="30"/>
    <col width="17" customWidth="1" min="31" max="31"/>
  </cols>
  <sheetData>
    <row r="1">
      <c r="A1" s="11" t="inlineStr">
        <is>
          <t>Orden_Original</t>
        </is>
      </c>
      <c r="B1" s="11" t="inlineStr">
        <is>
          <t>Folio</t>
        </is>
      </c>
      <c r="C1" s="11" t="inlineStr">
        <is>
          <t>Fecha_Operacion</t>
        </is>
      </c>
      <c r="D1" s="11" t="inlineStr">
        <is>
          <t>Hora_Operacion</t>
        </is>
      </c>
      <c r="E1" s="11" t="inlineStr">
        <is>
          <t>Codigo_Cliente</t>
        </is>
      </c>
      <c r="F1" s="11" t="inlineStr">
        <is>
          <t>Cliente</t>
        </is>
      </c>
      <c r="G1" s="11" t="inlineStr">
        <is>
          <t>Codigo_Producto</t>
        </is>
      </c>
      <c r="H1" s="11" t="inlineStr">
        <is>
          <t>Producto</t>
        </is>
      </c>
      <c r="I1" s="11" t="inlineStr">
        <is>
          <t>Categoria</t>
        </is>
      </c>
      <c r="J1" s="11" t="inlineStr">
        <is>
          <t>Region</t>
        </is>
      </c>
      <c r="K1" s="11" t="inlineStr">
        <is>
          <t>Sucursal</t>
        </is>
      </c>
      <c r="L1" s="11" t="inlineStr">
        <is>
          <t>Canal</t>
        </is>
      </c>
      <c r="M1" s="11" t="inlineStr">
        <is>
          <t>Estado</t>
        </is>
      </c>
      <c r="N1" s="11" t="inlineStr">
        <is>
          <t>Prioridad</t>
        </is>
      </c>
      <c r="O1" s="11" t="inlineStr">
        <is>
          <t>Cantidad</t>
        </is>
      </c>
      <c r="P1" s="11" t="inlineStr">
        <is>
          <t>Precio_Unitario</t>
        </is>
      </c>
      <c r="Q1" s="11" t="inlineStr">
        <is>
          <t>Porcentaje_Descuento</t>
        </is>
      </c>
      <c r="R1" s="11" t="inlineStr">
        <is>
          <t>Costo_Unitario</t>
        </is>
      </c>
      <c r="S1" s="11" t="inlineStr">
        <is>
          <t>Fecha_Compromiso</t>
        </is>
      </c>
      <c r="T1" s="11" t="inlineStr">
        <is>
          <t>Fecha_Entrega</t>
        </is>
      </c>
      <c r="U1" s="11" t="inlineStr">
        <is>
          <t>Responsable</t>
        </is>
      </c>
      <c r="V1" s="11" t="inlineStr">
        <is>
          <t>Archivo_Origen</t>
        </is>
      </c>
      <c r="W1" s="11" t="inlineStr">
        <is>
          <t>Importe_Bruto</t>
        </is>
      </c>
      <c r="X1" s="11" t="inlineStr">
        <is>
          <t>Importe_Descuento</t>
        </is>
      </c>
      <c r="Y1" s="11" t="inlineStr">
        <is>
          <t>Venta_Neta</t>
        </is>
      </c>
      <c r="Z1" s="11" t="inlineStr">
        <is>
          <t>Costo_Total</t>
        </is>
      </c>
      <c r="AA1" s="11" t="inlineStr">
        <is>
          <t>Utilidad</t>
        </is>
      </c>
      <c r="AB1" s="11" t="inlineStr">
        <is>
          <t>Margen</t>
        </is>
      </c>
      <c r="AC1" s="11" t="inlineStr">
        <is>
          <t>Dias_Atraso</t>
        </is>
      </c>
      <c r="AD1" s="11" t="inlineStr">
        <is>
          <t>Clave_Duplicado</t>
        </is>
      </c>
      <c r="AE1" s="11" t="inlineStr">
        <is>
          <t>Conteo_Clave</t>
        </is>
      </c>
    </row>
    <row r="2">
      <c r="A2" t="n">
        <v>1</v>
      </c>
      <c r="B2" t="inlineStr">
        <is>
          <t>OP-000001</t>
        </is>
      </c>
      <c r="C2" s="12" t="n">
        <v>46030</v>
      </c>
      <c r="D2" s="13" t="n">
        <v>0.3368055555555556</v>
      </c>
      <c r="E2" t="inlineStr">
        <is>
          <t>C-0002</t>
        </is>
      </c>
      <c r="F2" t="inlineStr">
        <is>
          <t>Cliente 2</t>
        </is>
      </c>
      <c r="G2" t="inlineStr">
        <is>
          <t>P-100</t>
        </is>
      </c>
      <c r="H2" t="inlineStr">
        <is>
          <t>Monitor 24</t>
        </is>
      </c>
      <c r="I2" t="inlineStr">
        <is>
          <t>Tecnologia</t>
        </is>
      </c>
      <c r="J2" t="inlineStr">
        <is>
          <t>Norte</t>
        </is>
      </c>
      <c r="K2" t="inlineStr">
        <is>
          <t>SUC-02</t>
        </is>
      </c>
      <c r="L2" t="inlineStr">
        <is>
          <t>Tienda</t>
        </is>
      </c>
      <c r="M2" t="inlineStr">
        <is>
          <t>Pendiente</t>
        </is>
      </c>
      <c r="N2" t="inlineStr">
        <is>
          <t>Alta</t>
        </is>
      </c>
      <c r="O2" t="n">
        <v>4</v>
      </c>
      <c r="P2" s="14" t="n">
        <v>637</v>
      </c>
      <c r="Q2" s="15" t="n">
        <v>0.05</v>
      </c>
      <c r="R2" s="14" t="n">
        <v>356.72</v>
      </c>
      <c r="S2" s="12" t="n">
        <v>46038</v>
      </c>
      <c r="T2" s="12" t="n">
        <v>46034</v>
      </c>
      <c r="U2" t="inlineStr">
        <is>
          <t>Resp 2</t>
        </is>
      </c>
      <c r="V2" t="inlineStr">
        <is>
          <t>archivo_02.csv</t>
        </is>
      </c>
      <c r="W2" s="14" t="n">
        <v>2548</v>
      </c>
      <c r="X2" s="14" t="n">
        <v>127.4</v>
      </c>
      <c r="Y2" s="14" t="n">
        <v>2420.6</v>
      </c>
      <c r="Z2" s="14" t="n">
        <v>1426.88</v>
      </c>
      <c r="AA2" s="14" t="n">
        <v>993.7199999999998</v>
      </c>
      <c r="AB2" s="15" t="n">
        <v>0.4105263157894736</v>
      </c>
      <c r="AC2" t="n">
        <v>4</v>
      </c>
      <c r="AD2" t="inlineStr">
        <is>
          <t>NORTE|OP-000001|20260108|P-100</t>
        </is>
      </c>
      <c r="AE2" t="n">
        <v>1</v>
      </c>
    </row>
    <row r="3">
      <c r="A3" t="n">
        <v>2</v>
      </c>
      <c r="B3" t="inlineStr">
        <is>
          <t>OP-000002</t>
        </is>
      </c>
      <c r="C3" s="12" t="n">
        <v>46037</v>
      </c>
      <c r="D3" s="13" t="n">
        <v>0.3819444444444444</v>
      </c>
      <c r="E3" t="inlineStr">
        <is>
          <t>C-0003</t>
        </is>
      </c>
      <c r="F3" t="inlineStr">
        <is>
          <t>Cliente 3</t>
        </is>
      </c>
      <c r="G3" t="inlineStr">
        <is>
          <t>P-200</t>
        </is>
      </c>
      <c r="H3" t="inlineStr">
        <is>
          <t>Teclado</t>
        </is>
      </c>
      <c r="I3" t="inlineStr">
        <is>
          <t>Tecnologia</t>
        </is>
      </c>
      <c r="J3" t="inlineStr">
        <is>
          <t>Centro</t>
        </is>
      </c>
      <c r="K3" t="inlineStr">
        <is>
          <t>SUC-03</t>
        </is>
      </c>
      <c r="L3" t="inlineStr">
        <is>
          <t>Distribuidor</t>
        </is>
      </c>
      <c r="M3" t="inlineStr">
        <is>
          <t>Cancelado</t>
        </is>
      </c>
      <c r="N3" t="inlineStr">
        <is>
          <t>Media</t>
        </is>
      </c>
      <c r="O3" t="n">
        <v>7</v>
      </c>
      <c r="P3" s="14" t="n">
        <v>774</v>
      </c>
      <c r="Q3" s="15" t="n">
        <v>0.1</v>
      </c>
      <c r="R3" s="14" t="n">
        <v>441.18</v>
      </c>
      <c r="S3" s="12" t="n">
        <v>46046</v>
      </c>
      <c r="T3" s="12" t="n">
        <v>46042</v>
      </c>
      <c r="U3" t="inlineStr">
        <is>
          <t>Resp 3</t>
        </is>
      </c>
      <c r="V3" t="inlineStr">
        <is>
          <t>archivo_03.csv</t>
        </is>
      </c>
      <c r="W3" s="14" t="n">
        <v>5418</v>
      </c>
      <c r="X3" s="14" t="n">
        <v>541.8000000000001</v>
      </c>
      <c r="Y3" s="14" t="n">
        <v>4876.2</v>
      </c>
      <c r="Z3" s="14" t="n">
        <v>3088.26</v>
      </c>
      <c r="AA3" s="14" t="n">
        <v>1787.94</v>
      </c>
      <c r="AB3" s="15" t="n">
        <v>0.3666666666666666</v>
      </c>
      <c r="AC3" t="n">
        <v>5</v>
      </c>
      <c r="AD3" t="inlineStr">
        <is>
          <t>CENTRO|OP-000002|20260115|P-200</t>
        </is>
      </c>
      <c r="AE3" t="n">
        <v>1</v>
      </c>
    </row>
    <row r="4">
      <c r="A4" t="n">
        <v>3</v>
      </c>
      <c r="B4" t="inlineStr">
        <is>
          <t>OP-000003</t>
        </is>
      </c>
      <c r="C4" s="12" t="n">
        <v>46044</v>
      </c>
      <c r="D4" s="13" t="n">
        <v>0.4270833333333333</v>
      </c>
      <c r="E4" t="inlineStr">
        <is>
          <t>C-0004</t>
        </is>
      </c>
      <c r="F4" t="inlineStr">
        <is>
          <t>Cliente 4</t>
        </is>
      </c>
      <c r="G4" t="inlineStr">
        <is>
          <t>P-300</t>
        </is>
      </c>
      <c r="H4" t="inlineStr">
        <is>
          <t>Mouse</t>
        </is>
      </c>
      <c r="I4" t="inlineStr">
        <is>
          <t>Tecnologia</t>
        </is>
      </c>
      <c r="J4" t="inlineStr">
        <is>
          <t>Sur</t>
        </is>
      </c>
      <c r="K4" t="inlineStr">
        <is>
          <t>SUC-04</t>
        </is>
      </c>
      <c r="L4" t="inlineStr">
        <is>
          <t>Digital</t>
        </is>
      </c>
      <c r="M4" t="inlineStr">
        <is>
          <t>En revision</t>
        </is>
      </c>
      <c r="N4" t="inlineStr">
        <is>
          <t>Baja</t>
        </is>
      </c>
      <c r="O4" t="n">
        <v>10</v>
      </c>
      <c r="P4" s="14" t="n">
        <v>911</v>
      </c>
      <c r="Q4" s="15" t="n">
        <v>0.15</v>
      </c>
      <c r="R4" s="14" t="n">
        <v>528.38</v>
      </c>
      <c r="S4" s="12" t="n">
        <v>46054</v>
      </c>
      <c r="T4" s="12" t="n">
        <v>46050</v>
      </c>
      <c r="U4" t="inlineStr">
        <is>
          <t>Resp 4</t>
        </is>
      </c>
      <c r="V4" t="inlineStr">
        <is>
          <t>archivo_04.csv</t>
        </is>
      </c>
      <c r="W4" s="14" t="n">
        <v>9110</v>
      </c>
      <c r="X4" s="14" t="n">
        <v>1366.5</v>
      </c>
      <c r="Y4" s="14" t="n">
        <v>7743.5</v>
      </c>
      <c r="Z4" s="14" t="n">
        <v>5283.8</v>
      </c>
      <c r="AA4" s="14" t="n">
        <v>2459.7</v>
      </c>
      <c r="AB4" s="15" t="n">
        <v>0.3176470588235294</v>
      </c>
      <c r="AC4" t="n">
        <v>6</v>
      </c>
      <c r="AD4" t="inlineStr">
        <is>
          <t>SUR|OP-000003|20260122|P-300</t>
        </is>
      </c>
      <c r="AE4" t="n">
        <v>1</v>
      </c>
    </row>
    <row r="5">
      <c r="A5" t="n">
        <v>4</v>
      </c>
      <c r="B5" t="inlineStr">
        <is>
          <t>OP-000004</t>
        </is>
      </c>
      <c r="C5" s="12" t="n">
        <v>46051</v>
      </c>
      <c r="D5" s="13" t="n">
        <v>0.4722222222222222</v>
      </c>
      <c r="E5" t="inlineStr">
        <is>
          <t>C-0005</t>
        </is>
      </c>
      <c r="F5" t="inlineStr">
        <is>
          <t>Cliente 5</t>
        </is>
      </c>
      <c r="G5" t="inlineStr">
        <is>
          <t>P-400</t>
        </is>
      </c>
      <c r="H5" t="inlineStr">
        <is>
          <t>Laptop</t>
        </is>
      </c>
      <c r="I5" t="inlineStr">
        <is>
          <t>Tecnologia</t>
        </is>
      </c>
      <c r="J5" t="inlineStr">
        <is>
          <t>Pacifico</t>
        </is>
      </c>
      <c r="K5" t="inlineStr">
        <is>
          <t>SUC-05</t>
        </is>
      </c>
      <c r="L5" t="inlineStr">
        <is>
          <t>Tienda</t>
        </is>
      </c>
      <c r="M5" t="inlineStr">
        <is>
          <t>Aprobado</t>
        </is>
      </c>
      <c r="N5" t="inlineStr">
        <is>
          <t>Critica</t>
        </is>
      </c>
      <c r="O5" t="n">
        <v>13</v>
      </c>
      <c r="P5" s="14" t="n">
        <v>1048</v>
      </c>
      <c r="Q5" s="15" t="n">
        <v>0</v>
      </c>
      <c r="R5" s="14" t="n">
        <v>618.3200000000001</v>
      </c>
      <c r="S5" s="12" t="n">
        <v>46062</v>
      </c>
      <c r="T5" s="12" t="n">
        <v>46058</v>
      </c>
      <c r="U5" t="inlineStr">
        <is>
          <t>Resp 5</t>
        </is>
      </c>
      <c r="V5" t="inlineStr">
        <is>
          <t>archivo_05.csv</t>
        </is>
      </c>
      <c r="W5" s="14" t="n">
        <v>13624</v>
      </c>
      <c r="X5" s="14" t="n">
        <v>0</v>
      </c>
      <c r="Y5" s="14" t="n">
        <v>13624</v>
      </c>
      <c r="Z5" s="14" t="n">
        <v>8038.160000000001</v>
      </c>
      <c r="AA5" s="14" t="n">
        <v>5585.839999999999</v>
      </c>
      <c r="AB5" s="15" t="n">
        <v>0.4099999999999999</v>
      </c>
      <c r="AC5" t="n">
        <v>7</v>
      </c>
      <c r="AD5" t="inlineStr">
        <is>
          <t>PACIFICO|OP-000004|20260129|P-400</t>
        </is>
      </c>
      <c r="AE5" t="n">
        <v>1</v>
      </c>
    </row>
    <row r="6">
      <c r="A6" t="n">
        <v>5</v>
      </c>
      <c r="B6" t="inlineStr">
        <is>
          <t>OP-000005</t>
        </is>
      </c>
      <c r="C6" s="12" t="n">
        <v>46058</v>
      </c>
      <c r="D6" s="13" t="n">
        <v>0.5173611111111112</v>
      </c>
      <c r="E6" t="inlineStr">
        <is>
          <t>C-0006</t>
        </is>
      </c>
      <c r="F6" t="inlineStr">
        <is>
          <t>Cliente 6</t>
        </is>
      </c>
      <c r="G6" t="inlineStr">
        <is>
          <t>P-500</t>
        </is>
      </c>
      <c r="H6" t="inlineStr">
        <is>
          <t>Dock</t>
        </is>
      </c>
      <c r="I6" t="inlineStr">
        <is>
          <t>Tecnologia</t>
        </is>
      </c>
      <c r="J6" t="inlineStr">
        <is>
          <t>Norte</t>
        </is>
      </c>
      <c r="K6" t="inlineStr">
        <is>
          <t>SUC-06</t>
        </is>
      </c>
      <c r="L6" t="inlineStr">
        <is>
          <t>Distribuidor</t>
        </is>
      </c>
      <c r="M6" t="inlineStr">
        <is>
          <t>Pendiente</t>
        </is>
      </c>
      <c r="N6" t="inlineStr">
        <is>
          <t>Alta</t>
        </is>
      </c>
      <c r="O6" t="n">
        <v>16</v>
      </c>
      <c r="P6" s="14" t="n">
        <v>1185</v>
      </c>
      <c r="Q6" s="15" t="n">
        <v>0.05</v>
      </c>
      <c r="R6" s="14" t="n">
        <v>711</v>
      </c>
      <c r="S6" s="12" t="n">
        <v>46070</v>
      </c>
      <c r="T6" s="12" t="n">
        <v>46066</v>
      </c>
      <c r="U6" t="inlineStr">
        <is>
          <t>Resp 6</t>
        </is>
      </c>
      <c r="V6" t="inlineStr">
        <is>
          <t>archivo_06.csv</t>
        </is>
      </c>
      <c r="W6" s="14" t="n">
        <v>18960</v>
      </c>
      <c r="X6" s="14" t="n">
        <v>948</v>
      </c>
      <c r="Y6" s="14" t="n">
        <v>18012</v>
      </c>
      <c r="Z6" s="14" t="n">
        <v>11376</v>
      </c>
      <c r="AA6" s="14" t="n">
        <v>6636</v>
      </c>
      <c r="AB6" s="15" t="n">
        <v>0.3684210526315789</v>
      </c>
      <c r="AC6" t="n">
        <v>8</v>
      </c>
      <c r="AD6" t="inlineStr">
        <is>
          <t>NORTE|OP-000005|20260205|P-500</t>
        </is>
      </c>
      <c r="AE6" t="n">
        <v>1</v>
      </c>
    </row>
    <row r="7">
      <c r="A7" t="n">
        <v>6</v>
      </c>
      <c r="B7" t="inlineStr">
        <is>
          <t>OP-000006</t>
        </is>
      </c>
      <c r="C7" s="12" t="n">
        <v>46065</v>
      </c>
      <c r="D7" s="13" t="n">
        <v>0.5625</v>
      </c>
      <c r="E7" t="inlineStr">
        <is>
          <t>C-0007</t>
        </is>
      </c>
      <c r="F7" t="inlineStr">
        <is>
          <t>Cliente 7</t>
        </is>
      </c>
      <c r="G7" t="inlineStr">
        <is>
          <t>P-100</t>
        </is>
      </c>
      <c r="H7" t="inlineStr">
        <is>
          <t>Monitor 24</t>
        </is>
      </c>
      <c r="I7" t="inlineStr">
        <is>
          <t>Tecnologia</t>
        </is>
      </c>
      <c r="J7" t="inlineStr">
        <is>
          <t>Centro</t>
        </is>
      </c>
      <c r="K7" t="inlineStr">
        <is>
          <t>SUC-07</t>
        </is>
      </c>
      <c r="L7" t="inlineStr">
        <is>
          <t>Digital</t>
        </is>
      </c>
      <c r="M7" t="inlineStr">
        <is>
          <t>Cancelado</t>
        </is>
      </c>
      <c r="N7" t="inlineStr">
        <is>
          <t>Media</t>
        </is>
      </c>
      <c r="O7" t="n">
        <v>19</v>
      </c>
      <c r="P7" s="14" t="n">
        <v>1322</v>
      </c>
      <c r="Q7" s="15" t="n">
        <v>0.1</v>
      </c>
      <c r="R7" s="14" t="n">
        <v>806.42</v>
      </c>
      <c r="S7" s="12" t="n">
        <v>46078</v>
      </c>
      <c r="T7" s="12" t="n">
        <v>46074</v>
      </c>
      <c r="U7" t="inlineStr">
        <is>
          <t>Resp 7</t>
        </is>
      </c>
      <c r="V7" t="inlineStr">
        <is>
          <t>archivo_01.csv</t>
        </is>
      </c>
      <c r="W7" s="14" t="n">
        <v>25118</v>
      </c>
      <c r="X7" s="14" t="n">
        <v>2511.8</v>
      </c>
      <c r="Y7" s="14" t="n">
        <v>22606.2</v>
      </c>
      <c r="Z7" s="14" t="n">
        <v>15321.98</v>
      </c>
      <c r="AA7" s="14" t="n">
        <v>7284.220000000001</v>
      </c>
      <c r="AB7" s="15" t="n">
        <v>0.3222222222222222</v>
      </c>
      <c r="AC7" t="n">
        <v>9</v>
      </c>
      <c r="AD7" t="inlineStr">
        <is>
          <t>CENTRO|OP-000006|20260212|P-100</t>
        </is>
      </c>
      <c r="AE7" t="n">
        <v>1</v>
      </c>
    </row>
    <row r="8">
      <c r="A8" t="n">
        <v>7</v>
      </c>
      <c r="B8" t="inlineStr">
        <is>
          <t>OP-000007</t>
        </is>
      </c>
      <c r="C8" s="12" t="n">
        <v>46072</v>
      </c>
      <c r="D8" s="13" t="n">
        <v>0.6076388888888888</v>
      </c>
      <c r="E8" t="inlineStr">
        <is>
          <t>C-0008</t>
        </is>
      </c>
      <c r="F8" t="inlineStr">
        <is>
          <t>Cliente 8</t>
        </is>
      </c>
      <c r="G8" t="inlineStr">
        <is>
          <t>P-200</t>
        </is>
      </c>
      <c r="H8" t="inlineStr">
        <is>
          <t>Teclado</t>
        </is>
      </c>
      <c r="I8" t="inlineStr">
        <is>
          <t>Tecnologia</t>
        </is>
      </c>
      <c r="J8" t="inlineStr">
        <is>
          <t xml:space="preserve"> Sur</t>
        </is>
      </c>
      <c r="K8" t="inlineStr">
        <is>
          <t>SUC-08</t>
        </is>
      </c>
      <c r="L8" t="inlineStr">
        <is>
          <t>Tienda</t>
        </is>
      </c>
      <c r="M8" t="inlineStr">
        <is>
          <t>En revision</t>
        </is>
      </c>
      <c r="N8" t="inlineStr">
        <is>
          <t>Baja</t>
        </is>
      </c>
      <c r="O8" t="n">
        <v>22</v>
      </c>
      <c r="P8" s="14" t="n">
        <v>1459</v>
      </c>
      <c r="Q8" s="15" t="n">
        <v>0.15</v>
      </c>
      <c r="R8" s="14" t="n">
        <v>904.58</v>
      </c>
      <c r="S8" s="12" t="n">
        <v>46086</v>
      </c>
      <c r="T8" s="12" t="n">
        <v>46082</v>
      </c>
      <c r="U8" t="inlineStr">
        <is>
          <t>Resp 8</t>
        </is>
      </c>
      <c r="V8" t="inlineStr">
        <is>
          <t>archivo_02.csv</t>
        </is>
      </c>
      <c r="W8" s="14" t="n">
        <v>32098</v>
      </c>
      <c r="X8" s="14" t="n">
        <v>4814.7</v>
      </c>
      <c r="Y8" s="14" t="n">
        <v>27283.3</v>
      </c>
      <c r="Z8" s="14" t="n">
        <v>19900.76</v>
      </c>
      <c r="AA8" s="14" t="n">
        <v>7382.539999999997</v>
      </c>
      <c r="AB8" s="15" t="n">
        <v>0.2705882352941176</v>
      </c>
      <c r="AC8" t="n">
        <v>10</v>
      </c>
      <c r="AD8" t="inlineStr">
        <is>
          <t>SUR|OP-000007|20260219|P-200</t>
        </is>
      </c>
      <c r="AE8" t="n">
        <v>1</v>
      </c>
    </row>
    <row r="9">
      <c r="A9" t="n">
        <v>8</v>
      </c>
      <c r="B9" t="inlineStr">
        <is>
          <t>OP-000008</t>
        </is>
      </c>
      <c r="C9" s="12" t="n">
        <v>46079</v>
      </c>
      <c r="D9" s="13" t="n">
        <v>0.6527777777777778</v>
      </c>
      <c r="E9" t="inlineStr">
        <is>
          <t>C-0009</t>
        </is>
      </c>
      <c r="F9" t="inlineStr">
        <is>
          <t>Cliente 9</t>
        </is>
      </c>
      <c r="G9" t="inlineStr">
        <is>
          <t>P-300</t>
        </is>
      </c>
      <c r="H9" t="inlineStr">
        <is>
          <t>Mouse</t>
        </is>
      </c>
      <c r="I9" t="inlineStr">
        <is>
          <t>Tecnologia</t>
        </is>
      </c>
      <c r="J9" t="inlineStr">
        <is>
          <t>Pacifico</t>
        </is>
      </c>
      <c r="K9" t="inlineStr">
        <is>
          <t>SUC-01</t>
        </is>
      </c>
      <c r="L9" t="inlineStr">
        <is>
          <t>Distribuidor</t>
        </is>
      </c>
      <c r="M9" t="inlineStr">
        <is>
          <t>Aprobado</t>
        </is>
      </c>
      <c r="N9" t="inlineStr">
        <is>
          <t>Critica</t>
        </is>
      </c>
      <c r="O9" t="n">
        <v>25</v>
      </c>
      <c r="P9" s="14" t="n">
        <v>1596</v>
      </c>
      <c r="Q9" s="15" t="n">
        <v>0</v>
      </c>
      <c r="R9" s="14" t="n">
        <v>877.8</v>
      </c>
      <c r="S9" s="12" t="n">
        <v>46094</v>
      </c>
      <c r="T9" s="12" t="n">
        <v>46090</v>
      </c>
      <c r="U9" t="inlineStr">
        <is>
          <t>Resp 9</t>
        </is>
      </c>
      <c r="V9" t="inlineStr">
        <is>
          <t>archivo_03.csv</t>
        </is>
      </c>
      <c r="W9" s="14" t="n">
        <v>39900</v>
      </c>
      <c r="X9" s="14" t="n">
        <v>0</v>
      </c>
      <c r="Y9" s="14" t="n">
        <v>39900</v>
      </c>
      <c r="Z9" s="14" t="n">
        <v>21945</v>
      </c>
      <c r="AA9" s="14" t="n">
        <v>17955</v>
      </c>
      <c r="AB9" s="15" t="n">
        <v>0.45</v>
      </c>
      <c r="AC9" t="n">
        <v>11</v>
      </c>
      <c r="AD9" t="inlineStr">
        <is>
          <t>PACIFICO|OP-000008|20260226|P-300</t>
        </is>
      </c>
      <c r="AE9" t="n">
        <v>1</v>
      </c>
    </row>
    <row r="10">
      <c r="A10" t="n">
        <v>9</v>
      </c>
      <c r="B10" t="inlineStr">
        <is>
          <t>OP-000009</t>
        </is>
      </c>
      <c r="C10" s="12" t="n">
        <v>46086</v>
      </c>
      <c r="D10" s="13" t="n">
        <v>0.6979166666666666</v>
      </c>
      <c r="E10" t="inlineStr">
        <is>
          <t>C-0010</t>
        </is>
      </c>
      <c r="F10" t="inlineStr">
        <is>
          <t>Cliente 10</t>
        </is>
      </c>
      <c r="G10" t="inlineStr">
        <is>
          <t>P-400</t>
        </is>
      </c>
      <c r="H10" t="inlineStr">
        <is>
          <t>Laptop</t>
        </is>
      </c>
      <c r="I10" t="inlineStr">
        <is>
          <t>Tecnologia</t>
        </is>
      </c>
      <c r="J10" t="inlineStr">
        <is>
          <t>Norte</t>
        </is>
      </c>
      <c r="K10" t="inlineStr">
        <is>
          <t>SUC-02</t>
        </is>
      </c>
      <c r="L10" t="inlineStr">
        <is>
          <t>Digital</t>
        </is>
      </c>
      <c r="M10" t="inlineStr">
        <is>
          <t>Pendiente</t>
        </is>
      </c>
      <c r="N10" t="inlineStr">
        <is>
          <t>Alta</t>
        </is>
      </c>
      <c r="O10" t="n">
        <v>28</v>
      </c>
      <c r="P10" s="14" t="n">
        <v>1733</v>
      </c>
      <c r="Q10" s="15" t="n">
        <v>0.05</v>
      </c>
      <c r="R10" s="14" t="n">
        <v>970.48</v>
      </c>
      <c r="S10" s="12" t="n">
        <v>46102</v>
      </c>
      <c r="T10" s="12" t="n">
        <v>46098</v>
      </c>
      <c r="U10" t="inlineStr">
        <is>
          <t>Resp 10</t>
        </is>
      </c>
      <c r="V10" t="inlineStr">
        <is>
          <t>archivo_04.csv</t>
        </is>
      </c>
      <c r="W10" s="14" t="n">
        <v>48524</v>
      </c>
      <c r="X10" s="14" t="n">
        <v>2426.2</v>
      </c>
      <c r="Y10" s="14" t="n">
        <v>46097.8</v>
      </c>
      <c r="Z10" s="14" t="n">
        <v>27173.44</v>
      </c>
      <c r="AA10" s="14" t="n">
        <v>18924.36</v>
      </c>
      <c r="AB10" s="15" t="n">
        <v>0.4105263157894737</v>
      </c>
      <c r="AC10" t="n">
        <v>12</v>
      </c>
      <c r="AD10" t="inlineStr">
        <is>
          <t>NORTE|OP-000009|20260305|P-400</t>
        </is>
      </c>
      <c r="AE10" t="n">
        <v>1</v>
      </c>
    </row>
    <row r="11">
      <c r="A11" t="n">
        <v>10</v>
      </c>
      <c r="B11" t="inlineStr">
        <is>
          <t>OP-000010</t>
        </is>
      </c>
      <c r="C11" s="12" t="n">
        <v>46093</v>
      </c>
      <c r="D11" s="13" t="n">
        <v>0.7430555555555556</v>
      </c>
      <c r="E11" t="inlineStr">
        <is>
          <t>C-0011</t>
        </is>
      </c>
      <c r="F11" t="inlineStr">
        <is>
          <t>Cliente 11</t>
        </is>
      </c>
      <c r="G11" t="inlineStr">
        <is>
          <t>P-500</t>
        </is>
      </c>
      <c r="H11" t="inlineStr">
        <is>
          <t>Dock</t>
        </is>
      </c>
      <c r="I11" t="inlineStr">
        <is>
          <t>Tecnologia</t>
        </is>
      </c>
      <c r="J11" t="inlineStr">
        <is>
          <t>Centro</t>
        </is>
      </c>
      <c r="K11" t="inlineStr">
        <is>
          <t>SUC-03</t>
        </is>
      </c>
      <c r="L11" t="inlineStr">
        <is>
          <t>Tienda</t>
        </is>
      </c>
      <c r="M11" t="inlineStr">
        <is>
          <t>Cancelado</t>
        </is>
      </c>
      <c r="N11" t="inlineStr">
        <is>
          <t>Media</t>
        </is>
      </c>
      <c r="O11" t="n">
        <v>31</v>
      </c>
      <c r="P11" s="14" t="n">
        <v>1870</v>
      </c>
      <c r="Q11" s="15" t="n">
        <v>0.1</v>
      </c>
      <c r="R11" s="14" t="n">
        <v>1065.9</v>
      </c>
      <c r="S11" s="12" t="n">
        <v>46100</v>
      </c>
      <c r="T11" s="12" t="n">
        <v>46106</v>
      </c>
      <c r="U11" t="inlineStr">
        <is>
          <t>Resp 11</t>
        </is>
      </c>
      <c r="V11" t="inlineStr">
        <is>
          <t>archivo_05.csv</t>
        </is>
      </c>
      <c r="W11" s="14" t="n">
        <v>57970</v>
      </c>
      <c r="X11" s="14" t="n">
        <v>5797</v>
      </c>
      <c r="Y11" s="14" t="n">
        <v>52173</v>
      </c>
      <c r="Z11" s="14" t="n">
        <v>33042.9</v>
      </c>
      <c r="AA11" s="14" t="n">
        <v>19130.1</v>
      </c>
      <c r="AB11" s="15" t="n">
        <v>0.3666666666666666</v>
      </c>
      <c r="AC11" t="n">
        <v>13</v>
      </c>
      <c r="AD11" t="inlineStr">
        <is>
          <t>CENTRO|OP-000010|20260312|P-500</t>
        </is>
      </c>
      <c r="AE11" t="n">
        <v>1</v>
      </c>
    </row>
    <row r="12">
      <c r="A12" t="n">
        <v>11</v>
      </c>
      <c r="B12" t="inlineStr">
        <is>
          <t>OP-000011</t>
        </is>
      </c>
      <c r="C12" s="12" t="n">
        <v>46100</v>
      </c>
      <c r="D12" s="13" t="n">
        <v>0.7881944444444444</v>
      </c>
      <c r="E12" t="inlineStr">
        <is>
          <t>C-0012</t>
        </is>
      </c>
      <c r="F12" t="inlineStr">
        <is>
          <t>Cliente 12</t>
        </is>
      </c>
      <c r="G12" t="inlineStr">
        <is>
          <t>P-100</t>
        </is>
      </c>
      <c r="H12" t="inlineStr">
        <is>
          <t>Monitor 24</t>
        </is>
      </c>
      <c r="I12" t="inlineStr">
        <is>
          <t>Tecnologia</t>
        </is>
      </c>
      <c r="J12" t="inlineStr">
        <is>
          <t>Sur</t>
        </is>
      </c>
      <c r="K12" t="inlineStr">
        <is>
          <t>SUC-04</t>
        </is>
      </c>
      <c r="L12" t="inlineStr">
        <is>
          <t>Distribuidor</t>
        </is>
      </c>
      <c r="M12" t="inlineStr">
        <is>
          <t>En revision</t>
        </is>
      </c>
      <c r="N12" t="inlineStr">
        <is>
          <t>Baja</t>
        </is>
      </c>
      <c r="O12" t="n">
        <v>34</v>
      </c>
      <c r="P12" s="14" t="n">
        <v>2007</v>
      </c>
      <c r="Q12" s="15" t="n">
        <v>0.15</v>
      </c>
      <c r="R12" s="14" t="n">
        <v>1164.06</v>
      </c>
      <c r="S12" s="12" t="n">
        <v>46108</v>
      </c>
      <c r="T12" s="12" t="n">
        <v>46114</v>
      </c>
      <c r="U12" t="inlineStr">
        <is>
          <t>Resp 12</t>
        </is>
      </c>
      <c r="V12" t="inlineStr">
        <is>
          <t>archivo_06.csv</t>
        </is>
      </c>
      <c r="W12" s="14" t="n">
        <v>68238</v>
      </c>
      <c r="X12" s="14" t="n">
        <v>10235.7</v>
      </c>
      <c r="Y12" s="14" t="n">
        <v>58002.3</v>
      </c>
      <c r="Z12" s="14" t="n">
        <v>39578.04</v>
      </c>
      <c r="AA12" s="14" t="n">
        <v>18424.26</v>
      </c>
      <c r="AB12" s="15" t="n">
        <v>0.3176470588235294</v>
      </c>
      <c r="AC12" t="n">
        <v>14</v>
      </c>
      <c r="AD12" t="inlineStr">
        <is>
          <t>SUR|OP-000011|20260319|P-100</t>
        </is>
      </c>
      <c r="AE12" t="n">
        <v>1</v>
      </c>
    </row>
    <row r="13">
      <c r="A13" t="n">
        <v>12</v>
      </c>
      <c r="B13" t="inlineStr">
        <is>
          <t>OP-000012</t>
        </is>
      </c>
      <c r="C13" s="12" t="n">
        <v>46107</v>
      </c>
      <c r="D13" s="13" t="n">
        <v>0.2916666666666667</v>
      </c>
      <c r="E13" t="inlineStr">
        <is>
          <t>C-0013</t>
        </is>
      </c>
      <c r="F13" t="inlineStr">
        <is>
          <t>Cliente 13</t>
        </is>
      </c>
      <c r="G13" t="inlineStr">
        <is>
          <t>P-200</t>
        </is>
      </c>
      <c r="H13" t="inlineStr">
        <is>
          <t>Teclado</t>
        </is>
      </c>
      <c r="I13" t="inlineStr">
        <is>
          <t>Tecnologia</t>
        </is>
      </c>
      <c r="J13" t="inlineStr">
        <is>
          <t>Pacifico</t>
        </is>
      </c>
      <c r="K13" t="inlineStr">
        <is>
          <t>SUC-05</t>
        </is>
      </c>
      <c r="L13" t="inlineStr">
        <is>
          <t>Digital</t>
        </is>
      </c>
      <c r="M13" t="inlineStr">
        <is>
          <t>Aprobado</t>
        </is>
      </c>
      <c r="N13" t="inlineStr">
        <is>
          <t>Critica</t>
        </is>
      </c>
      <c r="O13" t="n">
        <v>37</v>
      </c>
      <c r="P13" s="14" t="n">
        <v>2144</v>
      </c>
      <c r="Q13" s="15" t="n">
        <v>0</v>
      </c>
      <c r="R13" s="14" t="n">
        <v>1264.96</v>
      </c>
      <c r="S13" s="12" t="n">
        <v>46116</v>
      </c>
      <c r="T13" s="12" t="n">
        <v>46122</v>
      </c>
      <c r="U13" t="inlineStr">
        <is>
          <t>Resp 1</t>
        </is>
      </c>
      <c r="V13" t="inlineStr">
        <is>
          <t>archivo_01.csv</t>
        </is>
      </c>
      <c r="W13" s="14" t="n">
        <v>79328</v>
      </c>
      <c r="X13" s="14" t="n">
        <v>0</v>
      </c>
      <c r="Y13" s="14" t="n">
        <v>79328</v>
      </c>
      <c r="Z13" s="14" t="n">
        <v>46803.52</v>
      </c>
      <c r="AA13" s="14" t="n">
        <v>32524.48</v>
      </c>
      <c r="AB13" s="15" t="n">
        <v>0.41</v>
      </c>
      <c r="AC13" t="n">
        <v>15</v>
      </c>
      <c r="AD13" t="inlineStr">
        <is>
          <t>PACIFICO|OP-000012|20260326|P-200</t>
        </is>
      </c>
      <c r="AE13" t="n">
        <v>1</v>
      </c>
    </row>
    <row r="14">
      <c r="A14" t="n">
        <v>13</v>
      </c>
      <c r="B14" t="inlineStr">
        <is>
          <t>OP-000013</t>
        </is>
      </c>
      <c r="C14" s="12" t="inlineStr">
        <is>
          <t>02/04/2026</t>
        </is>
      </c>
      <c r="D14" s="13" t="n">
        <v>0.3368055555555556</v>
      </c>
      <c r="E14" t="inlineStr">
        <is>
          <t>C-0014</t>
        </is>
      </c>
      <c r="F14" t="inlineStr">
        <is>
          <t>Cliente 14</t>
        </is>
      </c>
      <c r="G14" t="inlineStr">
        <is>
          <t>P-300</t>
        </is>
      </c>
      <c r="H14" t="inlineStr">
        <is>
          <t>Mouse</t>
        </is>
      </c>
      <c r="I14" t="inlineStr">
        <is>
          <t>Tecnologia</t>
        </is>
      </c>
      <c r="J14" t="inlineStr">
        <is>
          <t>Norte</t>
        </is>
      </c>
      <c r="K14" t="inlineStr">
        <is>
          <t>SUC-06</t>
        </is>
      </c>
      <c r="L14" t="inlineStr">
        <is>
          <t>Tienda</t>
        </is>
      </c>
      <c r="M14" t="inlineStr">
        <is>
          <t>Pendiente</t>
        </is>
      </c>
      <c r="N14" t="inlineStr">
        <is>
          <t>Alta</t>
        </is>
      </c>
      <c r="O14" t="n">
        <v>40</v>
      </c>
      <c r="P14" s="14" t="n">
        <v>2281</v>
      </c>
      <c r="Q14" s="15" t="n">
        <v>0.05</v>
      </c>
      <c r="R14" s="14" t="n">
        <v>1368.6</v>
      </c>
      <c r="S14" s="12" t="n">
        <v>46124</v>
      </c>
      <c r="T14" s="12" t="n">
        <v>46130</v>
      </c>
      <c r="U14" t="inlineStr">
        <is>
          <t>Resp 2</t>
        </is>
      </c>
      <c r="V14" t="inlineStr">
        <is>
          <t>archivo_02.csv</t>
        </is>
      </c>
      <c r="W14" s="14" t="n">
        <v>91240</v>
      </c>
      <c r="X14" s="14" t="n">
        <v>4562</v>
      </c>
      <c r="Y14" s="14" t="n">
        <v>86678</v>
      </c>
      <c r="Z14" s="14" t="n">
        <v>54744</v>
      </c>
      <c r="AA14" s="14" t="n">
        <v>31934</v>
      </c>
      <c r="AB14" s="15" t="n">
        <v>0.3684210526315789</v>
      </c>
      <c r="AC14" t="inlineStr"/>
      <c r="AD14" t="inlineStr">
        <is>
          <t>NORTE|OP-000013|02/04/2026|P-300</t>
        </is>
      </c>
      <c r="AE14" t="n">
        <v>1</v>
      </c>
    </row>
    <row r="15">
      <c r="A15" t="n">
        <v>14</v>
      </c>
      <c r="B15" t="inlineStr">
        <is>
          <t>OP-000014</t>
        </is>
      </c>
      <c r="C15" s="12" t="n">
        <v>46121</v>
      </c>
      <c r="D15" s="13" t="n">
        <v>0.3819444444444444</v>
      </c>
      <c r="E15" t="inlineStr">
        <is>
          <t>C-0015</t>
        </is>
      </c>
      <c r="F15" t="inlineStr">
        <is>
          <t>Cliente 15</t>
        </is>
      </c>
      <c r="G15" t="inlineStr">
        <is>
          <t>P-400</t>
        </is>
      </c>
      <c r="H15" t="inlineStr">
        <is>
          <t>Laptop</t>
        </is>
      </c>
      <c r="I15" t="inlineStr">
        <is>
          <t>Tecnologia</t>
        </is>
      </c>
      <c r="J15" t="inlineStr">
        <is>
          <t>Centro</t>
        </is>
      </c>
      <c r="K15" t="inlineStr">
        <is>
          <t>SUC-07</t>
        </is>
      </c>
      <c r="L15" t="inlineStr">
        <is>
          <t>Distribuidor</t>
        </is>
      </c>
      <c r="M15" t="inlineStr">
        <is>
          <t>Cancelado</t>
        </is>
      </c>
      <c r="N15" t="inlineStr">
        <is>
          <t>Media</t>
        </is>
      </c>
      <c r="O15" t="n">
        <v>43</v>
      </c>
      <c r="P15" s="14" t="n">
        <v>2418</v>
      </c>
      <c r="Q15" s="15" t="n">
        <v>0.1</v>
      </c>
      <c r="R15" s="14" t="n">
        <v>1474.98</v>
      </c>
      <c r="S15" s="12" t="n">
        <v>46132</v>
      </c>
      <c r="T15" s="12" t="n">
        <v>46138</v>
      </c>
      <c r="U15" t="inlineStr">
        <is>
          <t>Resp 3</t>
        </is>
      </c>
      <c r="V15" t="inlineStr">
        <is>
          <t>archivo_03.csv</t>
        </is>
      </c>
      <c r="W15" s="14" t="n">
        <v>103974</v>
      </c>
      <c r="X15" s="14" t="n">
        <v>10397.4</v>
      </c>
      <c r="Y15" s="14" t="n">
        <v>93576.60000000001</v>
      </c>
      <c r="Z15" s="14" t="n">
        <v>63424.14</v>
      </c>
      <c r="AA15" s="14" t="n">
        <v>30152.46000000001</v>
      </c>
      <c r="AB15" s="15" t="n">
        <v>0.3222222222222222</v>
      </c>
      <c r="AC15" t="n">
        <v>17</v>
      </c>
      <c r="AD15" t="inlineStr">
        <is>
          <t>CENTRO|OP-000014|20260409|P-400</t>
        </is>
      </c>
      <c r="AE15" t="n">
        <v>1</v>
      </c>
    </row>
    <row r="16">
      <c r="A16" t="n">
        <v>15</v>
      </c>
      <c r="B16" t="inlineStr">
        <is>
          <t>OP-000015</t>
        </is>
      </c>
      <c r="C16" s="12" t="n">
        <v>46128</v>
      </c>
      <c r="D16" s="13" t="n">
        <v>0.4270833333333333</v>
      </c>
      <c r="E16" t="inlineStr">
        <is>
          <t>C-0016</t>
        </is>
      </c>
      <c r="F16" t="inlineStr">
        <is>
          <t>Cliente 16</t>
        </is>
      </c>
      <c r="G16" t="inlineStr">
        <is>
          <t>P-500</t>
        </is>
      </c>
      <c r="H16" t="inlineStr">
        <is>
          <t>Dock</t>
        </is>
      </c>
      <c r="I16" t="inlineStr">
        <is>
          <t>Tecnologia</t>
        </is>
      </c>
      <c r="J16" t="inlineStr">
        <is>
          <t>Sur</t>
        </is>
      </c>
      <c r="K16" t="inlineStr">
        <is>
          <t>SUC-08</t>
        </is>
      </c>
      <c r="L16" t="inlineStr">
        <is>
          <t>Digital</t>
        </is>
      </c>
      <c r="M16" t="inlineStr">
        <is>
          <t>En revision</t>
        </is>
      </c>
      <c r="N16" t="inlineStr">
        <is>
          <t>Baja</t>
        </is>
      </c>
      <c r="O16" t="n">
        <v>46</v>
      </c>
      <c r="P16" s="14" t="n">
        <v>2555</v>
      </c>
      <c r="Q16" s="15" t="n">
        <v>0.15</v>
      </c>
      <c r="R16" s="14" t="n">
        <v>1584.1</v>
      </c>
      <c r="S16" s="12" t="n">
        <v>46140</v>
      </c>
      <c r="T16" s="12" t="n">
        <v>46131</v>
      </c>
      <c r="U16" t="inlineStr">
        <is>
          <t>Resp 4</t>
        </is>
      </c>
      <c r="V16" t="inlineStr">
        <is>
          <t>archivo_04.csv</t>
        </is>
      </c>
      <c r="W16" s="14" t="n">
        <v>117530</v>
      </c>
      <c r="X16" s="14" t="n">
        <v>17629.5</v>
      </c>
      <c r="Y16" s="14" t="n">
        <v>99900.5</v>
      </c>
      <c r="Z16" s="14" t="n">
        <v>72868.59999999999</v>
      </c>
      <c r="AA16" s="14" t="n">
        <v>27031.90000000001</v>
      </c>
      <c r="AB16" s="15" t="n">
        <v>0.2705882352941177</v>
      </c>
      <c r="AC16" t="n">
        <v>3</v>
      </c>
      <c r="AD16" t="inlineStr">
        <is>
          <t>SUR|OP-000015|20260416|P-500</t>
        </is>
      </c>
      <c r="AE16" t="n">
        <v>1</v>
      </c>
    </row>
    <row r="17">
      <c r="A17" t="n">
        <v>16</v>
      </c>
      <c r="B17" t="inlineStr">
        <is>
          <t>OP-000016</t>
        </is>
      </c>
      <c r="C17" s="12" t="n">
        <v>46135</v>
      </c>
      <c r="D17" s="13" t="n">
        <v>0.4722222222222222</v>
      </c>
      <c r="E17" t="inlineStr">
        <is>
          <t>C-0017</t>
        </is>
      </c>
      <c r="F17" t="inlineStr">
        <is>
          <t>Cliente 17</t>
        </is>
      </c>
      <c r="G17" t="inlineStr">
        <is>
          <t>P-100</t>
        </is>
      </c>
      <c r="H17" t="inlineStr">
        <is>
          <t>Monitor 24</t>
        </is>
      </c>
      <c r="I17" t="inlineStr">
        <is>
          <t>Tecnologia</t>
        </is>
      </c>
      <c r="J17" t="inlineStr">
        <is>
          <t>Pacifico</t>
        </is>
      </c>
      <c r="K17" t="inlineStr">
        <is>
          <t>SUC-01</t>
        </is>
      </c>
      <c r="L17" t="inlineStr">
        <is>
          <t>Tienda</t>
        </is>
      </c>
      <c r="M17" t="inlineStr">
        <is>
          <t>Aprobado</t>
        </is>
      </c>
      <c r="N17" t="inlineStr">
        <is>
          <t>Critica</t>
        </is>
      </c>
      <c r="O17" t="n">
        <v>2</v>
      </c>
      <c r="P17" s="14" t="n">
        <v>2692</v>
      </c>
      <c r="Q17" s="15" t="n">
        <v>0</v>
      </c>
      <c r="R17" s="14" t="n">
        <v>1480.6</v>
      </c>
      <c r="S17" s="12" t="n">
        <v>46148</v>
      </c>
      <c r="T17" s="12" t="n">
        <v>46139</v>
      </c>
      <c r="U17" t="inlineStr">
        <is>
          <t>Resp 5</t>
        </is>
      </c>
      <c r="V17" t="inlineStr">
        <is>
          <t>archivo_05.csv</t>
        </is>
      </c>
      <c r="W17" s="14" t="n">
        <v>5384</v>
      </c>
      <c r="X17" s="14" t="n">
        <v>0</v>
      </c>
      <c r="Y17" s="14" t="n">
        <v>5384</v>
      </c>
      <c r="Z17" s="14" t="n">
        <v>2961.2</v>
      </c>
      <c r="AA17" s="14" t="n">
        <v>2422.8</v>
      </c>
      <c r="AB17" s="15" t="n">
        <v>0.45</v>
      </c>
      <c r="AC17" t="n">
        <v>4</v>
      </c>
      <c r="AD17" t="inlineStr">
        <is>
          <t>PACIFICO|OP-000016|20260423|P-100</t>
        </is>
      </c>
      <c r="AE17" t="n">
        <v>1</v>
      </c>
    </row>
    <row r="18">
      <c r="A18" t="n">
        <v>17</v>
      </c>
      <c r="B18" t="inlineStr">
        <is>
          <t>OP-000017</t>
        </is>
      </c>
      <c r="C18" s="12" t="n">
        <v>46142</v>
      </c>
      <c r="D18" s="13" t="n">
        <v>0.5173611111111112</v>
      </c>
      <c r="E18" t="inlineStr">
        <is>
          <t>C-0018</t>
        </is>
      </c>
      <c r="F18" t="inlineStr">
        <is>
          <t>Cliente 18</t>
        </is>
      </c>
      <c r="G18" t="inlineStr">
        <is>
          <t>P-200</t>
        </is>
      </c>
      <c r="H18" t="inlineStr">
        <is>
          <t>Teclado</t>
        </is>
      </c>
      <c r="I18" t="inlineStr">
        <is>
          <t>Tecnologia</t>
        </is>
      </c>
      <c r="J18" t="inlineStr">
        <is>
          <t>Norte</t>
        </is>
      </c>
      <c r="K18" t="inlineStr">
        <is>
          <t>SUC-02</t>
        </is>
      </c>
      <c r="L18" t="inlineStr">
        <is>
          <t>Distribuidor</t>
        </is>
      </c>
      <c r="M18" t="inlineStr">
        <is>
          <t>Pendiente</t>
        </is>
      </c>
      <c r="N18" t="inlineStr">
        <is>
          <t>Alta</t>
        </is>
      </c>
      <c r="O18" t="n">
        <v>5</v>
      </c>
      <c r="P18" s="14" t="n">
        <v>2829</v>
      </c>
      <c r="Q18" s="15" t="n">
        <v>0.05</v>
      </c>
      <c r="R18" s="14" t="n">
        <v>1584.24</v>
      </c>
      <c r="S18" s="12" t="n">
        <v>46156</v>
      </c>
      <c r="T18" s="12" t="n">
        <v>46147</v>
      </c>
      <c r="U18" t="inlineStr">
        <is>
          <t>Resp 6</t>
        </is>
      </c>
      <c r="V18" t="inlineStr">
        <is>
          <t>archivo_06.csv</t>
        </is>
      </c>
      <c r="W18" s="14" t="n">
        <v>14145</v>
      </c>
      <c r="X18" s="14" t="n">
        <v>707.25</v>
      </c>
      <c r="Y18" s="14" t="n">
        <v>13437.75</v>
      </c>
      <c r="Z18" s="14" t="n">
        <v>7921.2</v>
      </c>
      <c r="AA18" s="14" t="n">
        <v>5516.55</v>
      </c>
      <c r="AB18" s="15" t="n">
        <v>0.4105263157894737</v>
      </c>
      <c r="AC18" t="n">
        <v>5</v>
      </c>
      <c r="AD18" t="inlineStr">
        <is>
          <t>NORTE|OP-000017|20260430|P-200</t>
        </is>
      </c>
      <c r="AE18" t="n">
        <v>1</v>
      </c>
    </row>
    <row r="19">
      <c r="A19" t="n">
        <v>18</v>
      </c>
      <c r="B19" t="inlineStr">
        <is>
          <t>OP-000018</t>
        </is>
      </c>
      <c r="C19" s="12" t="n">
        <v>46149</v>
      </c>
      <c r="D19" s="13" t="n">
        <v>0.5625</v>
      </c>
      <c r="E19" t="inlineStr">
        <is>
          <t>C-0019</t>
        </is>
      </c>
      <c r="F19" t="inlineStr">
        <is>
          <t>Cliente 19</t>
        </is>
      </c>
      <c r="G19" t="inlineStr">
        <is>
          <t>P-300</t>
        </is>
      </c>
      <c r="H19" t="inlineStr">
        <is>
          <t>Mouse</t>
        </is>
      </c>
      <c r="I19" t="inlineStr">
        <is>
          <t>Tecnologia</t>
        </is>
      </c>
      <c r="J19" t="inlineStr">
        <is>
          <t>Centro</t>
        </is>
      </c>
      <c r="K19" t="inlineStr">
        <is>
          <t>SUC-03</t>
        </is>
      </c>
      <c r="L19" t="inlineStr">
        <is>
          <t>Digital</t>
        </is>
      </c>
      <c r="M19" t="inlineStr">
        <is>
          <t>Cancelado</t>
        </is>
      </c>
      <c r="N19" t="inlineStr">
        <is>
          <t>Media</t>
        </is>
      </c>
      <c r="O19" t="n">
        <v>8</v>
      </c>
      <c r="P19" s="14" t="n">
        <v>2966</v>
      </c>
      <c r="Q19" s="15" t="n">
        <v>0.1</v>
      </c>
      <c r="R19" s="14" t="n">
        <v>1690.62</v>
      </c>
      <c r="S19" s="12" t="n">
        <v>46164</v>
      </c>
      <c r="T19" s="12" t="n">
        <v>46155</v>
      </c>
      <c r="U19" t="inlineStr">
        <is>
          <t>Resp 7</t>
        </is>
      </c>
      <c r="V19" t="inlineStr">
        <is>
          <t>archivo_01.csv</t>
        </is>
      </c>
      <c r="W19" s="14" t="n">
        <v>23728</v>
      </c>
      <c r="X19" s="14" t="n">
        <v>2372.8</v>
      </c>
      <c r="Y19" s="14" t="n">
        <v>21355.2</v>
      </c>
      <c r="Z19" s="14" t="n">
        <v>13524.96</v>
      </c>
      <c r="AA19" s="14" t="n">
        <v>7830.240000000002</v>
      </c>
      <c r="AB19" s="15" t="n">
        <v>0.3666666666666668</v>
      </c>
      <c r="AC19" t="n">
        <v>6</v>
      </c>
      <c r="AD19" t="inlineStr">
        <is>
          <t>CENTRO|OP-000018|20260507|P-300</t>
        </is>
      </c>
      <c r="AE19" t="n">
        <v>1</v>
      </c>
    </row>
    <row r="20">
      <c r="A20" t="n">
        <v>19</v>
      </c>
      <c r="B20" t="inlineStr">
        <is>
          <t>OP-000019</t>
        </is>
      </c>
      <c r="C20" s="12" t="n">
        <v>46156</v>
      </c>
      <c r="D20" s="13" t="n">
        <v>0.6076388888888888</v>
      </c>
      <c r="E20" t="inlineStr">
        <is>
          <t>C-0020</t>
        </is>
      </c>
      <c r="F20" t="inlineStr">
        <is>
          <t>Cliente 20</t>
        </is>
      </c>
      <c r="G20" t="inlineStr">
        <is>
          <t>P-400</t>
        </is>
      </c>
      <c r="H20" t="inlineStr">
        <is>
          <t>Laptop</t>
        </is>
      </c>
      <c r="I20" t="inlineStr">
        <is>
          <t>Tecnologia</t>
        </is>
      </c>
      <c r="J20" t="inlineStr">
        <is>
          <t>Sur</t>
        </is>
      </c>
      <c r="K20" t="inlineStr">
        <is>
          <t>SUC-04</t>
        </is>
      </c>
      <c r="L20" t="inlineStr">
        <is>
          <t>Tienda</t>
        </is>
      </c>
      <c r="M20" t="inlineStr">
        <is>
          <t>En revision</t>
        </is>
      </c>
      <c r="N20" t="inlineStr">
        <is>
          <t>Baja</t>
        </is>
      </c>
      <c r="O20" t="n">
        <v>11</v>
      </c>
      <c r="P20" s="14" t="inlineStr">
        <is>
          <t>3103</t>
        </is>
      </c>
      <c r="Q20" s="15" t="n">
        <v>0.15</v>
      </c>
      <c r="R20" s="14" t="n">
        <v>1799.74</v>
      </c>
      <c r="S20" s="12" t="n">
        <v>46172</v>
      </c>
      <c r="T20" s="12" t="n">
        <v>46163</v>
      </c>
      <c r="U20" t="inlineStr">
        <is>
          <t>Resp 8</t>
        </is>
      </c>
      <c r="V20" t="inlineStr">
        <is>
          <t>archivo_02.csv</t>
        </is>
      </c>
      <c r="W20" s="14" t="n"/>
      <c r="X20" s="14" t="n"/>
      <c r="Y20" s="14" t="n"/>
      <c r="Z20" s="14" t="n">
        <v>19797.14</v>
      </c>
      <c r="AA20" s="14" t="n"/>
      <c r="AB20" s="15" t="n">
        <v>0</v>
      </c>
      <c r="AC20" t="n">
        <v>7</v>
      </c>
      <c r="AD20" t="inlineStr">
        <is>
          <t>SUR|OP-000019|20260514|P-400</t>
        </is>
      </c>
      <c r="AE20" t="n">
        <v>1</v>
      </c>
    </row>
    <row r="21">
      <c r="A21" t="n">
        <v>20</v>
      </c>
      <c r="B21" t="inlineStr">
        <is>
          <t>OP-000020</t>
        </is>
      </c>
      <c r="C21" s="12" t="n">
        <v>46163</v>
      </c>
      <c r="D21" s="13" t="n">
        <v>0.6527777777777778</v>
      </c>
      <c r="E21" t="inlineStr">
        <is>
          <t>C-0021</t>
        </is>
      </c>
      <c r="F21" t="inlineStr">
        <is>
          <t>Cliente 21</t>
        </is>
      </c>
      <c r="G21" t="inlineStr">
        <is>
          <t>P-500</t>
        </is>
      </c>
      <c r="H21" t="inlineStr">
        <is>
          <t>Dock</t>
        </is>
      </c>
      <c r="I21" t="inlineStr">
        <is>
          <t>Tecnologia</t>
        </is>
      </c>
      <c r="J21" t="inlineStr">
        <is>
          <t>Pacifico</t>
        </is>
      </c>
      <c r="K21" t="inlineStr">
        <is>
          <t>SUC-05</t>
        </is>
      </c>
      <c r="L21" t="inlineStr">
        <is>
          <t>Distribuidor</t>
        </is>
      </c>
      <c r="M21" t="inlineStr">
        <is>
          <t>Aprobado</t>
        </is>
      </c>
      <c r="N21" t="inlineStr">
        <is>
          <t>Critica</t>
        </is>
      </c>
      <c r="O21" t="n">
        <v>14</v>
      </c>
      <c r="P21" s="14" t="n">
        <v>3240</v>
      </c>
      <c r="Q21" s="15" t="n">
        <v>0</v>
      </c>
      <c r="R21" s="14" t="n">
        <v>1911.6</v>
      </c>
      <c r="S21" s="12" t="n">
        <v>46170</v>
      </c>
      <c r="T21" s="12" t="n">
        <v>46171</v>
      </c>
      <c r="U21" t="inlineStr">
        <is>
          <t>Resp 9</t>
        </is>
      </c>
      <c r="V21" t="inlineStr">
        <is>
          <t>archivo_03.csv</t>
        </is>
      </c>
      <c r="W21" s="14" t="n">
        <v>45360</v>
      </c>
      <c r="X21" s="14" t="n">
        <v>0</v>
      </c>
      <c r="Y21" s="14" t="n">
        <v>45360</v>
      </c>
      <c r="Z21" s="14" t="n">
        <v>26762.4</v>
      </c>
      <c r="AA21" s="14" t="n">
        <v>18597.6</v>
      </c>
      <c r="AB21" s="15" t="n">
        <v>0.41</v>
      </c>
      <c r="AC21" t="n">
        <v>8</v>
      </c>
      <c r="AD21" t="inlineStr">
        <is>
          <t>PACIFICO|OP-000020|20260521|P-500</t>
        </is>
      </c>
      <c r="AE21" t="n">
        <v>1</v>
      </c>
    </row>
    <row r="22">
      <c r="A22" t="n">
        <v>21</v>
      </c>
      <c r="B22" t="inlineStr">
        <is>
          <t>OP-000021</t>
        </is>
      </c>
      <c r="C22" s="12" t="n">
        <v>46170</v>
      </c>
      <c r="D22" s="13" t="n">
        <v>0.6979166666666666</v>
      </c>
      <c r="E22" t="inlineStr">
        <is>
          <t>C-0022</t>
        </is>
      </c>
      <c r="F22" t="inlineStr">
        <is>
          <t>Cliente 22</t>
        </is>
      </c>
      <c r="G22" t="inlineStr">
        <is>
          <t>P-100</t>
        </is>
      </c>
      <c r="H22" t="inlineStr">
        <is>
          <t>Monitor 24</t>
        </is>
      </c>
      <c r="I22" t="inlineStr">
        <is>
          <t>Tecnologia</t>
        </is>
      </c>
      <c r="J22" t="inlineStr">
        <is>
          <t>Norte</t>
        </is>
      </c>
      <c r="K22" t="inlineStr">
        <is>
          <t>SUC-06</t>
        </is>
      </c>
      <c r="L22" t="inlineStr">
        <is>
          <t>Digital</t>
        </is>
      </c>
      <c r="M22" t="inlineStr">
        <is>
          <t>Pendiente</t>
        </is>
      </c>
      <c r="N22" t="inlineStr">
        <is>
          <t>Alta</t>
        </is>
      </c>
      <c r="O22" t="n">
        <v>17</v>
      </c>
      <c r="P22" s="14" t="n">
        <v>3377</v>
      </c>
      <c r="Q22" s="15" t="n">
        <v>0.05</v>
      </c>
      <c r="R22" s="14" t="n">
        <v>2026.2</v>
      </c>
      <c r="S22" s="12" t="n">
        <v>46178</v>
      </c>
      <c r="T22" s="12" t="n">
        <v>46179</v>
      </c>
      <c r="U22" t="inlineStr">
        <is>
          <t>Resp 10</t>
        </is>
      </c>
      <c r="V22" t="inlineStr">
        <is>
          <t>archivo_04.csv</t>
        </is>
      </c>
      <c r="W22" s="14" t="n">
        <v>57409</v>
      </c>
      <c r="X22" s="14" t="n">
        <v>2870.45</v>
      </c>
      <c r="Y22" s="14" t="n">
        <v>54538.55</v>
      </c>
      <c r="Z22" s="14" t="n">
        <v>34445.4</v>
      </c>
      <c r="AA22" s="14" t="n">
        <v>20093.15</v>
      </c>
      <c r="AB22" s="15" t="n">
        <v>0.3684210526315789</v>
      </c>
      <c r="AC22" t="n">
        <v>9</v>
      </c>
      <c r="AD22" t="inlineStr">
        <is>
          <t>NORTE|OP-000021|20260528|P-100</t>
        </is>
      </c>
      <c r="AE22" t="n">
        <v>1</v>
      </c>
    </row>
    <row r="23">
      <c r="A23" t="n">
        <v>22</v>
      </c>
      <c r="B23" t="inlineStr">
        <is>
          <t>OP-000022</t>
        </is>
      </c>
      <c r="C23" s="12" t="n">
        <v>46177</v>
      </c>
      <c r="D23" s="13" t="n">
        <v>0.7430555555555556</v>
      </c>
      <c r="E23" t="inlineStr">
        <is>
          <t>C-0023</t>
        </is>
      </c>
      <c r="F23" t="inlineStr">
        <is>
          <t>Cliente 23</t>
        </is>
      </c>
      <c r="G23" t="inlineStr">
        <is>
          <t>P-200</t>
        </is>
      </c>
      <c r="H23" t="inlineStr">
        <is>
          <t>Teclado</t>
        </is>
      </c>
      <c r="I23" t="inlineStr">
        <is>
          <t>Tecnologia</t>
        </is>
      </c>
      <c r="J23" t="inlineStr">
        <is>
          <t>Centro</t>
        </is>
      </c>
      <c r="K23" t="inlineStr">
        <is>
          <t>SUC-07</t>
        </is>
      </c>
      <c r="L23" t="inlineStr">
        <is>
          <t>Tienda</t>
        </is>
      </c>
      <c r="M23" t="inlineStr">
        <is>
          <t>Cancelado</t>
        </is>
      </c>
      <c r="N23" t="inlineStr">
        <is>
          <t>Media</t>
        </is>
      </c>
      <c r="O23" t="n">
        <v>20</v>
      </c>
      <c r="P23" s="14" t="n">
        <v>3514</v>
      </c>
      <c r="Q23" s="15" t="n">
        <v>0.1</v>
      </c>
      <c r="R23" s="14" t="n">
        <v>2143.54</v>
      </c>
      <c r="S23" s="12" t="n">
        <v>46186</v>
      </c>
      <c r="T23" s="12" t="n">
        <v>46187</v>
      </c>
      <c r="U23" t="inlineStr">
        <is>
          <t>Resp 11</t>
        </is>
      </c>
      <c r="V23" t="inlineStr">
        <is>
          <t>archivo_05.csv</t>
        </is>
      </c>
      <c r="W23" s="14" t="n">
        <v>70280</v>
      </c>
      <c r="X23" s="14" t="n">
        <v>7028</v>
      </c>
      <c r="Y23" s="14" t="n">
        <v>63252</v>
      </c>
      <c r="Z23" s="14" t="n">
        <v>42870.8</v>
      </c>
      <c r="AA23" s="14" t="n">
        <v>20381.2</v>
      </c>
      <c r="AB23" s="15" t="n">
        <v>0.3222222222222222</v>
      </c>
      <c r="AC23" t="n">
        <v>10</v>
      </c>
      <c r="AD23" t="inlineStr">
        <is>
          <t>CENTRO|OP-000022|20260604|P-200</t>
        </is>
      </c>
      <c r="AE23" t="n">
        <v>1</v>
      </c>
    </row>
    <row r="24">
      <c r="A24" t="n">
        <v>23</v>
      </c>
      <c r="B24" t="inlineStr">
        <is>
          <t>OP-000023</t>
        </is>
      </c>
      <c r="C24" s="12" t="n">
        <v>46184</v>
      </c>
      <c r="D24" s="13" t="n">
        <v>0.7881944444444444</v>
      </c>
      <c r="E24" t="inlineStr">
        <is>
          <t>C-0024</t>
        </is>
      </c>
      <c r="F24" t="inlineStr">
        <is>
          <t>Cliente 24</t>
        </is>
      </c>
      <c r="G24" t="inlineStr">
        <is>
          <t>P-300</t>
        </is>
      </c>
      <c r="H24" t="inlineStr">
        <is>
          <t>Mouse</t>
        </is>
      </c>
      <c r="I24" t="inlineStr">
        <is>
          <t>Tecnologia</t>
        </is>
      </c>
      <c r="J24" t="inlineStr">
        <is>
          <t>Sur</t>
        </is>
      </c>
      <c r="K24" t="inlineStr">
        <is>
          <t>SUC-08</t>
        </is>
      </c>
      <c r="L24" t="inlineStr">
        <is>
          <t>Distribuidor</t>
        </is>
      </c>
      <c r="M24" t="inlineStr">
        <is>
          <t>En revision</t>
        </is>
      </c>
      <c r="N24" t="inlineStr">
        <is>
          <t>Baja</t>
        </is>
      </c>
      <c r="O24" t="n">
        <v>23</v>
      </c>
      <c r="P24" s="14" t="n">
        <v>3651</v>
      </c>
      <c r="Q24" s="15" t="n">
        <v>15</v>
      </c>
      <c r="R24" s="14" t="n">
        <v>2263.62</v>
      </c>
      <c r="S24" s="12" t="n">
        <v>46194</v>
      </c>
      <c r="T24" s="12" t="n">
        <v>46195</v>
      </c>
      <c r="U24" t="inlineStr">
        <is>
          <t>Resp 12</t>
        </is>
      </c>
      <c r="V24" t="inlineStr">
        <is>
          <t>archivo_06.csv</t>
        </is>
      </c>
      <c r="W24" s="14" t="n">
        <v>83973</v>
      </c>
      <c r="X24" s="14" t="n">
        <v>1259595</v>
      </c>
      <c r="Y24" s="14" t="n">
        <v>-1175622</v>
      </c>
      <c r="Z24" s="14" t="n">
        <v>52063.25999999999</v>
      </c>
      <c r="AA24" s="14" t="n">
        <v>-1227685.26</v>
      </c>
      <c r="AB24" s="15" t="n">
        <v>1.044285714285714</v>
      </c>
      <c r="AC24" t="n">
        <v>11</v>
      </c>
      <c r="AD24" t="inlineStr">
        <is>
          <t>SUR|OP-000023|20260611|P-300</t>
        </is>
      </c>
      <c r="AE24" t="n">
        <v>1</v>
      </c>
    </row>
    <row r="25">
      <c r="A25" t="n">
        <v>24</v>
      </c>
      <c r="B25" t="inlineStr">
        <is>
          <t>OP-000024</t>
        </is>
      </c>
      <c r="C25" s="12" t="n">
        <v>46191</v>
      </c>
      <c r="D25" s="13" t="n">
        <v>0.2916666666666667</v>
      </c>
      <c r="E25" t="inlineStr">
        <is>
          <t>C-0025</t>
        </is>
      </c>
      <c r="F25" t="inlineStr">
        <is>
          <t>Cliente 25</t>
        </is>
      </c>
      <c r="G25" t="inlineStr">
        <is>
          <t>P-400</t>
        </is>
      </c>
      <c r="H25" t="inlineStr">
        <is>
          <t>Laptop</t>
        </is>
      </c>
      <c r="I25" t="inlineStr">
        <is>
          <t>Tecnologia</t>
        </is>
      </c>
      <c r="J25" t="inlineStr">
        <is>
          <t>Pacifico</t>
        </is>
      </c>
      <c r="K25" t="inlineStr">
        <is>
          <t>SUC-01</t>
        </is>
      </c>
      <c r="L25" t="inlineStr">
        <is>
          <t>Digital</t>
        </is>
      </c>
      <c r="M25" t="inlineStr">
        <is>
          <t>Aprobado</t>
        </is>
      </c>
      <c r="N25" t="inlineStr">
        <is>
          <t>Critica</t>
        </is>
      </c>
      <c r="O25" t="n">
        <v>26</v>
      </c>
      <c r="P25" s="14" t="n">
        <v>3788</v>
      </c>
      <c r="Q25" s="15" t="n">
        <v>0</v>
      </c>
      <c r="R25" s="14" t="n">
        <v>2083.4</v>
      </c>
      <c r="S25" s="12" t="n">
        <v>46202</v>
      </c>
      <c r="T25" s="12" t="n">
        <v>46203</v>
      </c>
      <c r="U25" t="inlineStr">
        <is>
          <t>Resp 1</t>
        </is>
      </c>
      <c r="V25" t="inlineStr">
        <is>
          <t>archivo_01.csv</t>
        </is>
      </c>
      <c r="W25" s="14" t="n">
        <v>98488</v>
      </c>
      <c r="X25" s="14" t="n">
        <v>0</v>
      </c>
      <c r="Y25" s="14" t="n">
        <v>98488</v>
      </c>
      <c r="Z25" s="14" t="n">
        <v>54168.4</v>
      </c>
      <c r="AA25" s="14" t="n">
        <v>44319.6</v>
      </c>
      <c r="AB25" s="15" t="n">
        <v>0.45</v>
      </c>
      <c r="AC25" t="n">
        <v>12</v>
      </c>
      <c r="AD25" t="inlineStr">
        <is>
          <t>PACIFICO|OP-000024|20260618|P-400</t>
        </is>
      </c>
      <c r="AE25" t="n">
        <v>1</v>
      </c>
    </row>
    <row r="26">
      <c r="A26" t="n">
        <v>25</v>
      </c>
      <c r="B26" t="inlineStr">
        <is>
          <t>OP-000025</t>
        </is>
      </c>
      <c r="C26" s="12" t="n">
        <v>46198</v>
      </c>
      <c r="D26" s="13" t="n">
        <v>0.3368055555555556</v>
      </c>
      <c r="E26" t="inlineStr">
        <is>
          <t>C-0026</t>
        </is>
      </c>
      <c r="F26" t="inlineStr">
        <is>
          <t>Cliente 26</t>
        </is>
      </c>
      <c r="G26" t="inlineStr">
        <is>
          <t>P-500</t>
        </is>
      </c>
      <c r="H26" t="inlineStr">
        <is>
          <t>Dock</t>
        </is>
      </c>
      <c r="I26" t="inlineStr">
        <is>
          <t>Tecnologia</t>
        </is>
      </c>
      <c r="J26" t="inlineStr">
        <is>
          <t>Norte</t>
        </is>
      </c>
      <c r="K26" t="inlineStr">
        <is>
          <t>SUC-02</t>
        </is>
      </c>
      <c r="L26" t="inlineStr">
        <is>
          <t>Tienda</t>
        </is>
      </c>
      <c r="M26" t="inlineStr">
        <is>
          <t>Pendiente</t>
        </is>
      </c>
      <c r="N26" t="inlineStr">
        <is>
          <t>Alta</t>
        </is>
      </c>
      <c r="O26" t="n">
        <v>29</v>
      </c>
      <c r="P26" s="14" t="n">
        <v>3925</v>
      </c>
      <c r="Q26" s="15" t="n">
        <v>0.05</v>
      </c>
      <c r="R26" s="14" t="n">
        <v>2198</v>
      </c>
      <c r="S26" s="12" t="n">
        <v>46210</v>
      </c>
      <c r="T26" s="12" t="n">
        <v>46211</v>
      </c>
      <c r="U26" t="inlineStr">
        <is>
          <t>Resp 2</t>
        </is>
      </c>
      <c r="V26" t="inlineStr">
        <is>
          <t>archivo_02.csv</t>
        </is>
      </c>
      <c r="W26" s="14" t="n">
        <v>113825</v>
      </c>
      <c r="X26" s="14" t="n">
        <v>5691.25</v>
      </c>
      <c r="Y26" s="14" t="n">
        <v>108133.75</v>
      </c>
      <c r="Z26" s="14" t="n">
        <v>63742</v>
      </c>
      <c r="AA26" s="14" t="n">
        <v>44391.75</v>
      </c>
      <c r="AB26" s="15" t="n">
        <v>0.4105263157894737</v>
      </c>
      <c r="AC26" t="n">
        <v>13</v>
      </c>
      <c r="AD26" t="inlineStr">
        <is>
          <t>NORTE|OP-000025|20260625|P-500</t>
        </is>
      </c>
      <c r="AE26" t="n">
        <v>1</v>
      </c>
    </row>
    <row r="27">
      <c r="A27" t="n">
        <v>26</v>
      </c>
      <c r="B27" t="inlineStr">
        <is>
          <t>OP-000026</t>
        </is>
      </c>
      <c r="C27" s="12" t="n">
        <v>46205</v>
      </c>
      <c r="D27" s="13" t="n">
        <v>0.3819444444444444</v>
      </c>
      <c r="E27" t="inlineStr">
        <is>
          <t>C-0027</t>
        </is>
      </c>
      <c r="F27" t="inlineStr">
        <is>
          <t>Cliente 27</t>
        </is>
      </c>
      <c r="G27" t="inlineStr">
        <is>
          <t>P-100</t>
        </is>
      </c>
      <c r="H27" t="inlineStr">
        <is>
          <t>Monitor 24</t>
        </is>
      </c>
      <c r="I27" t="inlineStr">
        <is>
          <t>Tecnologia</t>
        </is>
      </c>
      <c r="J27" t="inlineStr">
        <is>
          <t>Centro</t>
        </is>
      </c>
      <c r="K27" t="inlineStr">
        <is>
          <t>SUC-03</t>
        </is>
      </c>
      <c r="L27" t="inlineStr">
        <is>
          <t>Distribuidor</t>
        </is>
      </c>
      <c r="M27" t="inlineStr">
        <is>
          <t>Cancelado</t>
        </is>
      </c>
      <c r="N27" t="inlineStr">
        <is>
          <t>Media</t>
        </is>
      </c>
      <c r="O27" t="n">
        <v>32</v>
      </c>
      <c r="P27" s="14" t="n">
        <v>4062</v>
      </c>
      <c r="Q27" s="15" t="n">
        <v>0.1</v>
      </c>
      <c r="R27" s="14" t="n">
        <v>2315.34</v>
      </c>
      <c r="S27" s="12" t="n">
        <v>46218</v>
      </c>
      <c r="T27" s="12" t="n">
        <v>46219</v>
      </c>
      <c r="U27" t="inlineStr">
        <is>
          <t>Resp 3</t>
        </is>
      </c>
      <c r="V27" t="inlineStr">
        <is>
          <t>archivo_03.csv</t>
        </is>
      </c>
      <c r="W27" s="14" t="n">
        <v>129984</v>
      </c>
      <c r="X27" s="14" t="n">
        <v>12998.4</v>
      </c>
      <c r="Y27" s="14" t="n">
        <v>116985.6</v>
      </c>
      <c r="Z27" s="14" t="n">
        <v>74090.88</v>
      </c>
      <c r="AA27" s="14" t="n">
        <v>42894.72</v>
      </c>
      <c r="AB27" s="15" t="n">
        <v>0.3666666666666666</v>
      </c>
      <c r="AC27" t="n">
        <v>14</v>
      </c>
      <c r="AD27" t="inlineStr">
        <is>
          <t>CENTRO|OP-000026|20260702|P-100</t>
        </is>
      </c>
      <c r="AE27" t="n">
        <v>1</v>
      </c>
    </row>
    <row r="28">
      <c r="A28" t="n">
        <v>27</v>
      </c>
      <c r="B28" t="inlineStr">
        <is>
          <t>OP-000027</t>
        </is>
      </c>
      <c r="C28" s="12" t="n">
        <v>46212</v>
      </c>
      <c r="D28" s="13" t="n">
        <v>0.4270833333333333</v>
      </c>
      <c r="E28" t="inlineStr">
        <is>
          <t>C-0028</t>
        </is>
      </c>
      <c r="F28" t="inlineStr">
        <is>
          <t>Cliente 28</t>
        </is>
      </c>
      <c r="G28" t="inlineStr">
        <is>
          <t>P-200</t>
        </is>
      </c>
      <c r="H28" t="inlineStr">
        <is>
          <t>Teclado</t>
        </is>
      </c>
      <c r="I28" t="inlineStr">
        <is>
          <t>Tecnologia</t>
        </is>
      </c>
      <c r="J28" t="inlineStr">
        <is>
          <t>Sur</t>
        </is>
      </c>
      <c r="K28" t="inlineStr">
        <is>
          <t>SUC-04</t>
        </is>
      </c>
      <c r="L28" t="inlineStr">
        <is>
          <t>Digital</t>
        </is>
      </c>
      <c r="M28" t="inlineStr">
        <is>
          <t>En revision</t>
        </is>
      </c>
      <c r="N28" t="inlineStr">
        <is>
          <t>Baja</t>
        </is>
      </c>
      <c r="O28" t="n">
        <v>35</v>
      </c>
      <c r="P28" s="14" t="n">
        <v>4199</v>
      </c>
      <c r="Q28" s="15" t="n">
        <v>0.15</v>
      </c>
      <c r="R28" s="14" t="n">
        <v>2435.42</v>
      </c>
      <c r="S28" s="12" t="n">
        <v>46226</v>
      </c>
      <c r="T28" s="12" t="n">
        <v>46227</v>
      </c>
      <c r="U28" t="inlineStr">
        <is>
          <t>Resp 4</t>
        </is>
      </c>
      <c r="V28" t="inlineStr">
        <is>
          <t>archivo_04.csv</t>
        </is>
      </c>
      <c r="W28" s="14" t="n">
        <v>146965</v>
      </c>
      <c r="X28" s="14" t="n">
        <v>22044.75</v>
      </c>
      <c r="Y28" s="14" t="n">
        <v>124920.25</v>
      </c>
      <c r="Z28" s="14" t="n">
        <v>85239.7</v>
      </c>
      <c r="AA28" s="14" t="n">
        <v>39680.55</v>
      </c>
      <c r="AB28" s="15" t="n">
        <v>0.3176470588235294</v>
      </c>
      <c r="AC28" t="n">
        <v>15</v>
      </c>
      <c r="AD28" t="inlineStr">
        <is>
          <t>SUR|OP-000027|20260709|P-200</t>
        </is>
      </c>
      <c r="AE28" t="n">
        <v>1</v>
      </c>
    </row>
    <row r="29">
      <c r="A29" t="n">
        <v>28</v>
      </c>
      <c r="B29" t="inlineStr">
        <is>
          <t>OP-000028</t>
        </is>
      </c>
      <c r="C29" s="12" t="n">
        <v>46219</v>
      </c>
      <c r="D29" s="13" t="n">
        <v>0.4722222222222222</v>
      </c>
      <c r="E29" t="inlineStr">
        <is>
          <t>C-0029</t>
        </is>
      </c>
      <c r="F29" t="inlineStr">
        <is>
          <t>Cliente 29</t>
        </is>
      </c>
      <c r="G29" t="inlineStr">
        <is>
          <t>P-300</t>
        </is>
      </c>
      <c r="H29" t="inlineStr">
        <is>
          <t>Mouse</t>
        </is>
      </c>
      <c r="I29" t="inlineStr">
        <is>
          <t>Tecnologia</t>
        </is>
      </c>
      <c r="J29" t="inlineStr">
        <is>
          <t>Pacifico</t>
        </is>
      </c>
      <c r="K29" t="inlineStr">
        <is>
          <t>SUC-05</t>
        </is>
      </c>
      <c r="L29" t="inlineStr">
        <is>
          <t>Tienda</t>
        </is>
      </c>
      <c r="M29" t="inlineStr">
        <is>
          <t>Aprobado</t>
        </is>
      </c>
      <c r="N29" t="inlineStr">
        <is>
          <t>Critica</t>
        </is>
      </c>
      <c r="O29" t="n">
        <v>38</v>
      </c>
      <c r="P29" s="14" t="n">
        <v>4336</v>
      </c>
      <c r="Q29" s="15" t="n">
        <v>0</v>
      </c>
      <c r="R29" s="14" t="n">
        <v>2558.24</v>
      </c>
      <c r="S29" s="12" t="n">
        <v>46234</v>
      </c>
      <c r="T29" s="12" t="n">
        <v>46235</v>
      </c>
      <c r="U29" t="inlineStr">
        <is>
          <t>Resp 5</t>
        </is>
      </c>
      <c r="V29" t="inlineStr">
        <is>
          <t>archivo_05.csv</t>
        </is>
      </c>
      <c r="W29" s="14" t="n">
        <v>164768</v>
      </c>
      <c r="X29" s="14" t="n">
        <v>0</v>
      </c>
      <c r="Y29" s="14" t="n">
        <v>164768</v>
      </c>
      <c r="Z29" s="14" t="n">
        <v>97213.12</v>
      </c>
      <c r="AA29" s="14" t="n">
        <v>67554.88</v>
      </c>
      <c r="AB29" s="15" t="n">
        <v>0.41</v>
      </c>
      <c r="AC29" t="n">
        <v>16</v>
      </c>
      <c r="AD29" t="inlineStr">
        <is>
          <t>PACIFICO|OP-000028|20260716|P-300</t>
        </is>
      </c>
      <c r="AE29" t="n">
        <v>1</v>
      </c>
    </row>
    <row r="30">
      <c r="A30" t="n">
        <v>29</v>
      </c>
      <c r="B30" t="inlineStr">
        <is>
          <t>OP-29</t>
        </is>
      </c>
      <c r="C30" s="12" t="n">
        <v>46226</v>
      </c>
      <c r="D30" s="13" t="n">
        <v>0.5173611111111112</v>
      </c>
      <c r="E30" t="inlineStr">
        <is>
          <t>C-0030</t>
        </is>
      </c>
      <c r="F30" t="inlineStr">
        <is>
          <t>Cliente 30</t>
        </is>
      </c>
      <c r="G30" t="inlineStr">
        <is>
          <t>P-400</t>
        </is>
      </c>
      <c r="H30" t="inlineStr">
        <is>
          <t>Laptop</t>
        </is>
      </c>
      <c r="I30" t="inlineStr">
        <is>
          <t>Tecnologia</t>
        </is>
      </c>
      <c r="J30" t="inlineStr">
        <is>
          <t>Norte</t>
        </is>
      </c>
      <c r="K30" t="inlineStr">
        <is>
          <t>SUC-06</t>
        </is>
      </c>
      <c r="L30" t="inlineStr">
        <is>
          <t>Distribuidor</t>
        </is>
      </c>
      <c r="M30" t="inlineStr">
        <is>
          <t>Pendiente</t>
        </is>
      </c>
      <c r="N30" t="inlineStr">
        <is>
          <t>Alta</t>
        </is>
      </c>
      <c r="O30" t="n">
        <v>41</v>
      </c>
      <c r="P30" s="14" t="n">
        <v>4473</v>
      </c>
      <c r="Q30" s="15" t="n">
        <v>0.05</v>
      </c>
      <c r="R30" s="14" t="n">
        <v>2683.8</v>
      </c>
      <c r="S30" s="12" t="n">
        <v>46242</v>
      </c>
      <c r="T30" s="12" t="n">
        <v>46243</v>
      </c>
      <c r="U30" t="inlineStr">
        <is>
          <t>Resp 6</t>
        </is>
      </c>
      <c r="V30" t="inlineStr">
        <is>
          <t>archivo_06.csv</t>
        </is>
      </c>
      <c r="W30" s="14" t="n">
        <v>183393</v>
      </c>
      <c r="X30" s="14" t="n">
        <v>9169.65</v>
      </c>
      <c r="Y30" s="14" t="n">
        <v>174223.35</v>
      </c>
      <c r="Z30" s="14" t="n">
        <v>110035.8</v>
      </c>
      <c r="AA30" s="14" t="n">
        <v>64187.55</v>
      </c>
      <c r="AB30" s="15" t="n">
        <v>0.3684210526315789</v>
      </c>
      <c r="AC30" t="n">
        <v>17</v>
      </c>
      <c r="AD30" t="inlineStr">
        <is>
          <t>NORTE|OP-29|20260723|P-400</t>
        </is>
      </c>
      <c r="AE30" t="n">
        <v>1</v>
      </c>
    </row>
    <row r="31">
      <c r="A31" t="n">
        <v>30</v>
      </c>
      <c r="B31" t="inlineStr">
        <is>
          <t>OP-000030</t>
        </is>
      </c>
      <c r="C31" s="12" t="n">
        <v>46233</v>
      </c>
      <c r="D31" s="13" t="n">
        <v>0.5625</v>
      </c>
      <c r="E31" t="inlineStr">
        <is>
          <t>C-0031</t>
        </is>
      </c>
      <c r="F31" t="inlineStr">
        <is>
          <t>Cliente 31</t>
        </is>
      </c>
      <c r="G31" t="inlineStr">
        <is>
          <t>P-500</t>
        </is>
      </c>
      <c r="H31" t="inlineStr">
        <is>
          <t>Dock</t>
        </is>
      </c>
      <c r="I31" t="inlineStr">
        <is>
          <t>Tecnologia</t>
        </is>
      </c>
      <c r="J31" t="inlineStr">
        <is>
          <t>Centro</t>
        </is>
      </c>
      <c r="K31" t="inlineStr">
        <is>
          <t>SUC-07</t>
        </is>
      </c>
      <c r="L31" t="inlineStr">
        <is>
          <t>Digital</t>
        </is>
      </c>
      <c r="M31" t="inlineStr">
        <is>
          <t>Cancelado</t>
        </is>
      </c>
      <c r="N31" t="inlineStr">
        <is>
          <t>Media</t>
        </is>
      </c>
      <c r="O31" t="n">
        <v>44</v>
      </c>
      <c r="P31" s="14" t="n">
        <v>4610</v>
      </c>
      <c r="Q31" s="15" t="n">
        <v>0.1</v>
      </c>
      <c r="R31" s="14" t="n">
        <v>2812.1</v>
      </c>
      <c r="S31" s="12" t="n">
        <v>46240</v>
      </c>
      <c r="T31" s="12" t="n">
        <v>46236</v>
      </c>
      <c r="U31" t="inlineStr">
        <is>
          <t>Resp 7</t>
        </is>
      </c>
      <c r="V31" t="inlineStr">
        <is>
          <t>archivo_01.csv</t>
        </is>
      </c>
      <c r="W31" s="14" t="n">
        <v>202840</v>
      </c>
      <c r="X31" s="14" t="n">
        <v>20284</v>
      </c>
      <c r="Y31" s="14" t="n">
        <v>182556</v>
      </c>
      <c r="Z31" s="14" t="n">
        <v>123732.4</v>
      </c>
      <c r="AA31" s="14" t="n">
        <v>58823.60000000001</v>
      </c>
      <c r="AB31" s="15" t="n">
        <v>0.3222222222222222</v>
      </c>
      <c r="AC31" t="n">
        <v>3</v>
      </c>
      <c r="AD31" t="inlineStr">
        <is>
          <t>CENTRO|OP-000030|20260730|P-500</t>
        </is>
      </c>
      <c r="AE31" t="n">
        <v>1</v>
      </c>
    </row>
    <row r="32">
      <c r="A32" t="n">
        <v>31</v>
      </c>
      <c r="B32" t="inlineStr">
        <is>
          <t>OP-000031</t>
        </is>
      </c>
      <c r="C32" s="12" t="n">
        <v>46240</v>
      </c>
      <c r="D32" s="13" t="n">
        <v>0.6076388888888888</v>
      </c>
      <c r="E32" t="inlineStr">
        <is>
          <t>C-0032</t>
        </is>
      </c>
      <c r="F32" t="inlineStr">
        <is>
          <t>Cliente 32</t>
        </is>
      </c>
      <c r="G32" t="inlineStr">
        <is>
          <t>P-100</t>
        </is>
      </c>
      <c r="H32" t="inlineStr">
        <is>
          <t>Monitor 24</t>
        </is>
      </c>
      <c r="I32" t="inlineStr">
        <is>
          <t>Tecnologia</t>
        </is>
      </c>
      <c r="J32" t="inlineStr">
        <is>
          <t xml:space="preserve"> Sur</t>
        </is>
      </c>
      <c r="K32" t="inlineStr">
        <is>
          <t>SUC-08</t>
        </is>
      </c>
      <c r="L32" t="inlineStr">
        <is>
          <t>Tienda</t>
        </is>
      </c>
      <c r="M32" t="inlineStr">
        <is>
          <t>En revision</t>
        </is>
      </c>
      <c r="N32" t="inlineStr">
        <is>
          <t>Baja</t>
        </is>
      </c>
      <c r="O32" t="n">
        <v>47</v>
      </c>
      <c r="P32" s="14" t="n">
        <v>4747</v>
      </c>
      <c r="Q32" s="15" t="n">
        <v>0.15</v>
      </c>
      <c r="R32" s="14" t="n">
        <v>2943.14</v>
      </c>
      <c r="S32" s="12" t="n">
        <v>46248</v>
      </c>
      <c r="T32" s="12" t="n">
        <v>46244</v>
      </c>
      <c r="U32" t="inlineStr">
        <is>
          <t>Resp 8</t>
        </is>
      </c>
      <c r="V32" t="inlineStr">
        <is>
          <t>archivo_02.csv</t>
        </is>
      </c>
      <c r="W32" s="14" t="n">
        <v>223109</v>
      </c>
      <c r="X32" s="14" t="n">
        <v>33466.35</v>
      </c>
      <c r="Y32" s="14" t="n">
        <v>189642.65</v>
      </c>
      <c r="Z32" s="14" t="n">
        <v>138327.58</v>
      </c>
      <c r="AA32" s="14" t="n">
        <v>51315.07000000001</v>
      </c>
      <c r="AB32" s="15" t="n">
        <v>0.2705882352941177</v>
      </c>
      <c r="AC32" t="n">
        <v>4</v>
      </c>
      <c r="AD32" t="inlineStr">
        <is>
          <t>SUR|OP-000031|20260806|P-100</t>
        </is>
      </c>
      <c r="AE32" t="n">
        <v>1</v>
      </c>
    </row>
    <row r="33">
      <c r="A33" t="n">
        <v>32</v>
      </c>
      <c r="B33" t="inlineStr">
        <is>
          <t>OP-000032</t>
        </is>
      </c>
      <c r="C33" s="12" t="n">
        <v>46247</v>
      </c>
      <c r="D33" s="13" t="n">
        <v>0.6527777777777778</v>
      </c>
      <c r="E33" t="inlineStr">
        <is>
          <t>C-0033</t>
        </is>
      </c>
      <c r="F33" t="inlineStr">
        <is>
          <t>Cliente 33</t>
        </is>
      </c>
      <c r="G33" t="inlineStr">
        <is>
          <t>P-200</t>
        </is>
      </c>
      <c r="H33" t="inlineStr">
        <is>
          <t>Teclado</t>
        </is>
      </c>
      <c r="I33" t="inlineStr">
        <is>
          <t>Tecnologia</t>
        </is>
      </c>
      <c r="J33" t="inlineStr">
        <is>
          <t>Pacifico</t>
        </is>
      </c>
      <c r="K33" t="inlineStr">
        <is>
          <t>SUC-01</t>
        </is>
      </c>
      <c r="L33" t="inlineStr">
        <is>
          <t>Distribuidor</t>
        </is>
      </c>
      <c r="M33" t="inlineStr">
        <is>
          <t>Aprobado</t>
        </is>
      </c>
      <c r="N33" t="inlineStr">
        <is>
          <t>Critica</t>
        </is>
      </c>
      <c r="O33" t="n">
        <v>3</v>
      </c>
      <c r="P33" s="14" t="n">
        <v>4884</v>
      </c>
      <c r="Q33" s="15" t="n">
        <v>0</v>
      </c>
      <c r="R33" s="14" t="n">
        <v>2686.2</v>
      </c>
      <c r="S33" s="12" t="n">
        <v>46256</v>
      </c>
      <c r="T33" s="12" t="n">
        <v>46252</v>
      </c>
      <c r="U33" t="inlineStr">
        <is>
          <t>Resp 9</t>
        </is>
      </c>
      <c r="V33" t="inlineStr">
        <is>
          <t>archivo_03.csv</t>
        </is>
      </c>
      <c r="W33" s="14" t="n">
        <v>14652</v>
      </c>
      <c r="X33" s="14" t="n">
        <v>0</v>
      </c>
      <c r="Y33" s="14" t="n">
        <v>14652</v>
      </c>
      <c r="Z33" s="14" t="n">
        <v>8058.599999999999</v>
      </c>
      <c r="AA33" s="14" t="n">
        <v>6593.400000000001</v>
      </c>
      <c r="AB33" s="15" t="n">
        <v>0.45</v>
      </c>
      <c r="AC33" t="n">
        <v>5</v>
      </c>
      <c r="AD33" t="inlineStr">
        <is>
          <t>PACIFICO|OP-000032|20260813|P-200</t>
        </is>
      </c>
      <c r="AE33" t="n">
        <v>1</v>
      </c>
    </row>
    <row r="34">
      <c r="A34" t="n">
        <v>33</v>
      </c>
      <c r="B34" t="inlineStr">
        <is>
          <t>OP-000033</t>
        </is>
      </c>
      <c r="C34" s="12" t="n">
        <v>46254</v>
      </c>
      <c r="D34" s="13" t="n">
        <v>0.6979166666666666</v>
      </c>
      <c r="E34" t="inlineStr">
        <is>
          <t>C-0034</t>
        </is>
      </c>
      <c r="F34" t="inlineStr">
        <is>
          <t>Cliente 34</t>
        </is>
      </c>
      <c r="G34" t="inlineStr">
        <is>
          <t>P-300</t>
        </is>
      </c>
      <c r="H34" t="inlineStr">
        <is>
          <t>Mouse</t>
        </is>
      </c>
      <c r="I34" t="inlineStr">
        <is>
          <t>Tecnologia</t>
        </is>
      </c>
      <c r="J34" t="inlineStr">
        <is>
          <t>Norte</t>
        </is>
      </c>
      <c r="K34" t="inlineStr">
        <is>
          <t>SUC-02</t>
        </is>
      </c>
      <c r="L34" t="inlineStr">
        <is>
          <t>Digital</t>
        </is>
      </c>
      <c r="M34" t="inlineStr">
        <is>
          <t>Pendiente</t>
        </is>
      </c>
      <c r="N34" t="inlineStr">
        <is>
          <t>Alta</t>
        </is>
      </c>
      <c r="O34" t="n">
        <v>6</v>
      </c>
      <c r="P34" s="14" t="n">
        <v>5021</v>
      </c>
      <c r="Q34" s="15" t="n">
        <v>0.05</v>
      </c>
      <c r="R34" s="14" t="n">
        <v>2811.76</v>
      </c>
      <c r="S34" s="12" t="n">
        <v>46264</v>
      </c>
      <c r="T34" s="12" t="n">
        <v>46260</v>
      </c>
      <c r="U34" t="inlineStr">
        <is>
          <t>Resp 10</t>
        </is>
      </c>
      <c r="V34" t="inlineStr">
        <is>
          <t>archivo_04.csv</t>
        </is>
      </c>
      <c r="W34" s="14" t="n">
        <v>30126</v>
      </c>
      <c r="X34" s="14" t="n">
        <v>1506.3</v>
      </c>
      <c r="Y34" s="14" t="n">
        <v>28619.7</v>
      </c>
      <c r="Z34" s="14" t="n">
        <v>16870.56</v>
      </c>
      <c r="AA34" s="14" t="n">
        <v>11749.14</v>
      </c>
      <c r="AB34" s="15" t="n">
        <v>0.4105263157894736</v>
      </c>
      <c r="AC34" t="n">
        <v>6</v>
      </c>
      <c r="AD34" t="inlineStr">
        <is>
          <t>NORTE|OP-000033|20260820|P-300</t>
        </is>
      </c>
      <c r="AE34" t="n">
        <v>1</v>
      </c>
    </row>
    <row r="35">
      <c r="A35" t="n">
        <v>34</v>
      </c>
      <c r="B35" t="inlineStr">
        <is>
          <t>OP-000034</t>
        </is>
      </c>
      <c r="C35" s="12" t="n">
        <v>46261</v>
      </c>
      <c r="D35" s="13" t="n">
        <v>0.7430555555555556</v>
      </c>
      <c r="E35" t="inlineStr">
        <is>
          <t>C-0035</t>
        </is>
      </c>
      <c r="F35" t="inlineStr">
        <is>
          <t>Cliente 35</t>
        </is>
      </c>
      <c r="G35" t="inlineStr">
        <is>
          <t>P-400</t>
        </is>
      </c>
      <c r="H35" t="inlineStr">
        <is>
          <t>Laptop</t>
        </is>
      </c>
      <c r="I35" t="inlineStr">
        <is>
          <t>Tecnologia</t>
        </is>
      </c>
      <c r="J35" t="inlineStr">
        <is>
          <t>Centro</t>
        </is>
      </c>
      <c r="K35" t="inlineStr">
        <is>
          <t>SUC-03</t>
        </is>
      </c>
      <c r="L35" t="inlineStr">
        <is>
          <t>Tienda</t>
        </is>
      </c>
      <c r="M35" t="inlineStr">
        <is>
          <t>Cancelado</t>
        </is>
      </c>
      <c r="N35" t="inlineStr">
        <is>
          <t>Media</t>
        </is>
      </c>
      <c r="O35" t="n">
        <v>9</v>
      </c>
      <c r="P35" s="14" t="n">
        <v>5158</v>
      </c>
      <c r="Q35" s="15" t="n">
        <v>0.1</v>
      </c>
      <c r="R35" s="14" t="n">
        <v>2940.06</v>
      </c>
      <c r="S35" s="12" t="n">
        <v>46272</v>
      </c>
      <c r="T35" s="12" t="n">
        <v>46268</v>
      </c>
      <c r="U35" t="inlineStr">
        <is>
          <t>Resp 11</t>
        </is>
      </c>
      <c r="V35" t="inlineStr">
        <is>
          <t>archivo_05.csv</t>
        </is>
      </c>
      <c r="W35" s="14" t="n">
        <v>46422</v>
      </c>
      <c r="X35" s="14" t="n">
        <v>4642.2</v>
      </c>
      <c r="Y35" s="14" t="n">
        <v>41779.8</v>
      </c>
      <c r="Z35" s="14" t="n">
        <v>26460.54</v>
      </c>
      <c r="AA35" s="14" t="n">
        <v>15319.26</v>
      </c>
      <c r="AB35" s="15" t="n">
        <v>0.3666666666666667</v>
      </c>
      <c r="AC35" t="n">
        <v>7</v>
      </c>
      <c r="AD35" t="inlineStr">
        <is>
          <t>CENTRO|OP-000034|20260827|P-400</t>
        </is>
      </c>
      <c r="AE35" t="n">
        <v>1</v>
      </c>
    </row>
    <row r="36">
      <c r="A36" t="n">
        <v>35</v>
      </c>
      <c r="B36" t="inlineStr">
        <is>
          <t>OP-000035</t>
        </is>
      </c>
      <c r="C36" s="12" t="n">
        <v>46028</v>
      </c>
      <c r="D36" s="13" t="n">
        <v>0.7881944444444444</v>
      </c>
      <c r="E36" t="inlineStr">
        <is>
          <t>C-0001</t>
        </is>
      </c>
      <c r="F36" t="inlineStr">
        <is>
          <t>Cliente 1</t>
        </is>
      </c>
      <c r="G36" t="inlineStr">
        <is>
          <t>P-500</t>
        </is>
      </c>
      <c r="H36" t="inlineStr">
        <is>
          <t>Dock</t>
        </is>
      </c>
      <c r="I36" t="inlineStr">
        <is>
          <t>Tecnologia</t>
        </is>
      </c>
      <c r="J36" t="inlineStr">
        <is>
          <t>Sur</t>
        </is>
      </c>
      <c r="K36" t="inlineStr">
        <is>
          <t>SUC-04</t>
        </is>
      </c>
      <c r="L36" t="inlineStr">
        <is>
          <t>Distribuidor</t>
        </is>
      </c>
      <c r="M36" t="inlineStr">
        <is>
          <t>En revision</t>
        </is>
      </c>
      <c r="N36" t="inlineStr">
        <is>
          <t>Baja</t>
        </is>
      </c>
      <c r="O36" t="n">
        <v>12</v>
      </c>
      <c r="P36" s="14" t="n">
        <v>5295</v>
      </c>
      <c r="Q36" s="15" t="n">
        <v>0.15</v>
      </c>
      <c r="R36" s="14" t="n">
        <v>3071.1</v>
      </c>
      <c r="S36" s="12" t="n">
        <v>46040</v>
      </c>
      <c r="T36" s="12" t="n">
        <v>46036</v>
      </c>
      <c r="U36" t="inlineStr">
        <is>
          <t>Resp 12</t>
        </is>
      </c>
      <c r="V36" t="inlineStr">
        <is>
          <t>archivo_06.csv</t>
        </is>
      </c>
      <c r="W36" s="14" t="n">
        <v>63540</v>
      </c>
      <c r="X36" s="14" t="n">
        <v>9531</v>
      </c>
      <c r="Y36" s="14" t="n">
        <v>54009</v>
      </c>
      <c r="Z36" s="14" t="n">
        <v>36853.2</v>
      </c>
      <c r="AA36" s="14" t="n">
        <v>17155.8</v>
      </c>
      <c r="AB36" s="15" t="n">
        <v>0.3176470588235294</v>
      </c>
      <c r="AC36" t="n">
        <v>8</v>
      </c>
      <c r="AD36" t="inlineStr">
        <is>
          <t>SUR|OP-000035|20260106|P-500</t>
        </is>
      </c>
      <c r="AE36" t="n">
        <v>1</v>
      </c>
    </row>
    <row r="37">
      <c r="A37" t="n">
        <v>36</v>
      </c>
      <c r="B37" t="inlineStr">
        <is>
          <t>OP-000036</t>
        </is>
      </c>
      <c r="C37" s="12" t="n">
        <v>46035</v>
      </c>
      <c r="D37" s="13" t="n">
        <v>0.2916666666666667</v>
      </c>
      <c r="E37" t="inlineStr">
        <is>
          <t>C-0002</t>
        </is>
      </c>
      <c r="F37" t="inlineStr">
        <is>
          <t>Cliente 2</t>
        </is>
      </c>
      <c r="G37" t="inlineStr">
        <is>
          <t>P-100</t>
        </is>
      </c>
      <c r="H37" t="inlineStr">
        <is>
          <t>Monitor 24</t>
        </is>
      </c>
      <c r="I37" t="inlineStr">
        <is>
          <t>Tecnologia</t>
        </is>
      </c>
      <c r="J37" t="inlineStr">
        <is>
          <t>Pacifico</t>
        </is>
      </c>
      <c r="K37" t="inlineStr">
        <is>
          <t>SUC-05</t>
        </is>
      </c>
      <c r="L37" t="inlineStr">
        <is>
          <t>Digital</t>
        </is>
      </c>
      <c r="M37" t="inlineStr">
        <is>
          <t>Aprobado</t>
        </is>
      </c>
      <c r="N37" t="inlineStr">
        <is>
          <t>Critica</t>
        </is>
      </c>
      <c r="O37" t="n">
        <v>15</v>
      </c>
      <c r="P37" s="14" t="n">
        <v>5432</v>
      </c>
      <c r="Q37" s="15" t="n">
        <v>0</v>
      </c>
      <c r="R37" s="14" t="n">
        <v>3204.88</v>
      </c>
      <c r="S37" s="12" t="n">
        <v>46048</v>
      </c>
      <c r="T37" s="12" t="n">
        <v>46044</v>
      </c>
      <c r="U37" t="inlineStr">
        <is>
          <t>Resp 1</t>
        </is>
      </c>
      <c r="V37" t="inlineStr">
        <is>
          <t>archivo_01.csv</t>
        </is>
      </c>
      <c r="W37" s="14" t="n">
        <v>81480</v>
      </c>
      <c r="X37" s="14" t="n">
        <v>0</v>
      </c>
      <c r="Y37" s="14" t="n">
        <v>81480</v>
      </c>
      <c r="Z37" s="14" t="n">
        <v>48073.2</v>
      </c>
      <c r="AA37" s="14" t="n">
        <v>33406.8</v>
      </c>
      <c r="AB37" s="15" t="n">
        <v>0.4099999999999999</v>
      </c>
      <c r="AC37" t="n">
        <v>9</v>
      </c>
      <c r="AD37" t="inlineStr">
        <is>
          <t>PACIFICO|OP-000036|20260113|P-100</t>
        </is>
      </c>
      <c r="AE37" t="n">
        <v>1</v>
      </c>
    </row>
    <row r="38">
      <c r="A38" t="n">
        <v>37</v>
      </c>
      <c r="B38" t="inlineStr">
        <is>
          <t>OP-000037</t>
        </is>
      </c>
      <c r="C38" s="12" t="n">
        <v>46042</v>
      </c>
      <c r="D38" s="13" t="n">
        <v>0.3368055555555556</v>
      </c>
      <c r="E38" t="inlineStr">
        <is>
          <t>C-0003</t>
        </is>
      </c>
      <c r="F38" t="inlineStr">
        <is>
          <t>Cliente 3</t>
        </is>
      </c>
      <c r="G38" t="inlineStr">
        <is>
          <t>P-200</t>
        </is>
      </c>
      <c r="H38" t="inlineStr">
        <is>
          <t>Teclado</t>
        </is>
      </c>
      <c r="I38" t="inlineStr">
        <is>
          <t>Tecnologia</t>
        </is>
      </c>
      <c r="J38" t="inlineStr">
        <is>
          <t>Norte</t>
        </is>
      </c>
      <c r="K38" t="inlineStr">
        <is>
          <t>SUC-06</t>
        </is>
      </c>
      <c r="L38" t="inlineStr">
        <is>
          <t>Tienda</t>
        </is>
      </c>
      <c r="M38" t="inlineStr">
        <is>
          <t xml:space="preserve">Aprobado </t>
        </is>
      </c>
      <c r="N38" t="inlineStr">
        <is>
          <t>Alta</t>
        </is>
      </c>
      <c r="O38" t="n">
        <v>18</v>
      </c>
      <c r="P38" s="14" t="n">
        <v>5569</v>
      </c>
      <c r="Q38" s="15" t="n">
        <v>0.05</v>
      </c>
      <c r="R38" s="14" t="n">
        <v>3341.4</v>
      </c>
      <c r="S38" s="12" t="n">
        <v>46056</v>
      </c>
      <c r="T38" s="12" t="n">
        <v>46052</v>
      </c>
      <c r="U38" t="inlineStr">
        <is>
          <t>Resp 2</t>
        </is>
      </c>
      <c r="V38" t="inlineStr">
        <is>
          <t>archivo_02.csv</t>
        </is>
      </c>
      <c r="W38" s="14" t="n">
        <v>100242</v>
      </c>
      <c r="X38" s="14" t="n">
        <v>5012.1</v>
      </c>
      <c r="Y38" s="14" t="n">
        <v>95229.89999999999</v>
      </c>
      <c r="Z38" s="14" t="n">
        <v>60145.2</v>
      </c>
      <c r="AA38" s="14" t="n">
        <v>35084.69999999999</v>
      </c>
      <c r="AB38" s="15" t="n">
        <v>0.3684210526315789</v>
      </c>
      <c r="AC38" t="n">
        <v>10</v>
      </c>
      <c r="AD38" t="inlineStr">
        <is>
          <t>NORTE|OP-000037|20260120|P-200</t>
        </is>
      </c>
      <c r="AE38" t="n">
        <v>1</v>
      </c>
    </row>
    <row r="39">
      <c r="A39" t="n">
        <v>38</v>
      </c>
      <c r="B39" t="inlineStr">
        <is>
          <t>OP-000038</t>
        </is>
      </c>
      <c r="C39" s="12" t="n">
        <v>46049</v>
      </c>
      <c r="D39" s="13" t="n">
        <v>0.3819444444444444</v>
      </c>
      <c r="E39" t="inlineStr">
        <is>
          <t>C-0004</t>
        </is>
      </c>
      <c r="F39" t="inlineStr">
        <is>
          <t>Cliente 4</t>
        </is>
      </c>
      <c r="G39" t="inlineStr">
        <is>
          <t>P-300</t>
        </is>
      </c>
      <c r="H39" t="inlineStr">
        <is>
          <t>Mouse</t>
        </is>
      </c>
      <c r="I39" t="inlineStr">
        <is>
          <t>Tecnologia</t>
        </is>
      </c>
      <c r="J39" t="inlineStr">
        <is>
          <t>Centro</t>
        </is>
      </c>
      <c r="K39" t="inlineStr">
        <is>
          <t>SUC-07</t>
        </is>
      </c>
      <c r="L39" t="inlineStr">
        <is>
          <t>Distribuidor</t>
        </is>
      </c>
      <c r="M39" t="inlineStr">
        <is>
          <t>Cancelado</t>
        </is>
      </c>
      <c r="N39" t="inlineStr">
        <is>
          <t>Media</t>
        </is>
      </c>
      <c r="O39" t="n">
        <v>21</v>
      </c>
      <c r="P39" s="14" t="n">
        <v>5706</v>
      </c>
      <c r="Q39" s="15" t="n">
        <v>0.1</v>
      </c>
      <c r="R39" s="14" t="n">
        <v>3480.66</v>
      </c>
      <c r="S39" s="12" t="n">
        <v>46064</v>
      </c>
      <c r="T39" s="12" t="n">
        <v>46060</v>
      </c>
      <c r="U39" t="inlineStr">
        <is>
          <t>Resp 3</t>
        </is>
      </c>
      <c r="V39" t="inlineStr">
        <is>
          <t>archivo_03.csv</t>
        </is>
      </c>
      <c r="W39" s="14" t="n">
        <v>119826</v>
      </c>
      <c r="X39" s="14" t="n">
        <v>11982.6</v>
      </c>
      <c r="Y39" s="14" t="n">
        <v>107843.4</v>
      </c>
      <c r="Z39" s="14" t="n">
        <v>73093.86</v>
      </c>
      <c r="AA39" s="14" t="n">
        <v>34749.53999999999</v>
      </c>
      <c r="AB39" s="15" t="n">
        <v>0.3222222222222222</v>
      </c>
      <c r="AC39" t="n">
        <v>11</v>
      </c>
      <c r="AD39" t="inlineStr">
        <is>
          <t>CENTRO|OP-000038|20260127|P-300</t>
        </is>
      </c>
      <c r="AE39" t="n">
        <v>1</v>
      </c>
    </row>
    <row r="40">
      <c r="A40" t="n">
        <v>39</v>
      </c>
      <c r="B40" t="inlineStr">
        <is>
          <t>OP-000039</t>
        </is>
      </c>
      <c r="C40" s="12" t="n">
        <v>46056</v>
      </c>
      <c r="D40" s="13" t="n">
        <v>0.4270833333333333</v>
      </c>
      <c r="E40" t="inlineStr">
        <is>
          <t>C-0005</t>
        </is>
      </c>
      <c r="F40" t="inlineStr">
        <is>
          <t>Cliente 5</t>
        </is>
      </c>
      <c r="G40" t="inlineStr">
        <is>
          <t>P-400</t>
        </is>
      </c>
      <c r="H40" t="inlineStr">
        <is>
          <t>Laptop</t>
        </is>
      </c>
      <c r="I40" t="inlineStr">
        <is>
          <t>Tecnologia</t>
        </is>
      </c>
      <c r="J40" t="inlineStr">
        <is>
          <t>Sur</t>
        </is>
      </c>
      <c r="K40" t="inlineStr">
        <is>
          <t>SUC-08</t>
        </is>
      </c>
      <c r="L40" t="inlineStr">
        <is>
          <t>Digital</t>
        </is>
      </c>
      <c r="M40" t="inlineStr">
        <is>
          <t>En revision</t>
        </is>
      </c>
      <c r="N40" t="inlineStr">
        <is>
          <t>Baja</t>
        </is>
      </c>
      <c r="O40" t="n">
        <v>24</v>
      </c>
      <c r="P40" s="14" t="n">
        <v>5843</v>
      </c>
      <c r="Q40" s="15" t="n">
        <v>0.15</v>
      </c>
      <c r="R40" s="14" t="n">
        <v>3622.66</v>
      </c>
      <c r="S40" s="12" t="n">
        <v>46072</v>
      </c>
      <c r="T40" s="12" t="n">
        <v>46068</v>
      </c>
      <c r="U40" t="inlineStr">
        <is>
          <t>Resp 4</t>
        </is>
      </c>
      <c r="V40" t="inlineStr">
        <is>
          <t>archivo_04.csv</t>
        </is>
      </c>
      <c r="W40" s="14" t="n">
        <v>140232</v>
      </c>
      <c r="X40" s="14" t="n">
        <v>21034.8</v>
      </c>
      <c r="Y40" s="14" t="n">
        <v>119197.2</v>
      </c>
      <c r="Z40" s="14" t="n">
        <v>86943.84</v>
      </c>
      <c r="AA40" s="14" t="n">
        <v>32253.36</v>
      </c>
      <c r="AB40" s="15" t="n">
        <v>0.2705882352941177</v>
      </c>
      <c r="AC40" t="n">
        <v>12</v>
      </c>
      <c r="AD40" t="inlineStr">
        <is>
          <t>SUR|OP-000039|20260203|P-400</t>
        </is>
      </c>
      <c r="AE40" t="n">
        <v>1</v>
      </c>
    </row>
    <row r="41">
      <c r="A41" t="n">
        <v>40</v>
      </c>
      <c r="B41" t="inlineStr">
        <is>
          <t>OP-000040</t>
        </is>
      </c>
      <c r="C41" s="12" t="n">
        <v>46063</v>
      </c>
      <c r="D41" s="13" t="n">
        <v>0.4722222222222222</v>
      </c>
      <c r="E41" t="inlineStr">
        <is>
          <t>C-0006</t>
        </is>
      </c>
      <c r="F41" t="inlineStr">
        <is>
          <t>Cliente 6</t>
        </is>
      </c>
      <c r="G41" t="inlineStr">
        <is>
          <t>P-500</t>
        </is>
      </c>
      <c r="H41" t="inlineStr">
        <is>
          <t>Dock</t>
        </is>
      </c>
      <c r="I41" t="inlineStr">
        <is>
          <t>Tecnologia</t>
        </is>
      </c>
      <c r="J41" t="inlineStr">
        <is>
          <t>Pacifico</t>
        </is>
      </c>
      <c r="K41" t="inlineStr">
        <is>
          <t>SUC-01</t>
        </is>
      </c>
      <c r="L41" t="inlineStr">
        <is>
          <t>Tienda</t>
        </is>
      </c>
      <c r="M41" t="inlineStr">
        <is>
          <t>Aprobado</t>
        </is>
      </c>
      <c r="N41" t="inlineStr">
        <is>
          <t>Critica</t>
        </is>
      </c>
      <c r="O41" t="n">
        <v>27</v>
      </c>
      <c r="P41" s="14" t="n">
        <v>5980</v>
      </c>
      <c r="Q41" s="15" t="n">
        <v>0</v>
      </c>
      <c r="R41" s="14" t="n">
        <v>3289</v>
      </c>
      <c r="S41" s="12" t="n">
        <v>46070</v>
      </c>
      <c r="T41" s="12" t="n">
        <v>46076</v>
      </c>
      <c r="U41" t="inlineStr">
        <is>
          <t>Resp 5</t>
        </is>
      </c>
      <c r="V41" t="inlineStr">
        <is>
          <t>archivo_05.csv</t>
        </is>
      </c>
      <c r="W41" s="14" t="n">
        <v>161460</v>
      </c>
      <c r="X41" s="14" t="n">
        <v>0</v>
      </c>
      <c r="Y41" s="14" t="n">
        <v>161460</v>
      </c>
      <c r="Z41" s="14" t="n">
        <v>88803</v>
      </c>
      <c r="AA41" s="14" t="n">
        <v>72657</v>
      </c>
      <c r="AB41" s="15" t="n">
        <v>0.45</v>
      </c>
      <c r="AC41" t="n">
        <v>13</v>
      </c>
      <c r="AD41" t="inlineStr">
        <is>
          <t>PACIFICO|OP-000040|20260210|P-500</t>
        </is>
      </c>
      <c r="AE41" t="n">
        <v>1</v>
      </c>
    </row>
    <row r="42">
      <c r="A42" t="n">
        <v>41</v>
      </c>
      <c r="B42" t="inlineStr">
        <is>
          <t>OP-000041</t>
        </is>
      </c>
      <c r="C42" s="12" t="n">
        <v>46070</v>
      </c>
      <c r="D42" s="13" t="n">
        <v>0.5173611111111112</v>
      </c>
      <c r="E42" t="inlineStr">
        <is>
          <t>C-0007</t>
        </is>
      </c>
      <c r="F42" t="inlineStr">
        <is>
          <t>Cliente 7</t>
        </is>
      </c>
      <c r="G42" t="inlineStr">
        <is>
          <t>P-100</t>
        </is>
      </c>
      <c r="H42" t="inlineStr">
        <is>
          <t>Monitor 24</t>
        </is>
      </c>
      <c r="I42" t="inlineStr">
        <is>
          <t>Tecnologia</t>
        </is>
      </c>
      <c r="J42" t="inlineStr">
        <is>
          <t>Norte</t>
        </is>
      </c>
      <c r="K42" t="inlineStr">
        <is>
          <t>SUC-02</t>
        </is>
      </c>
      <c r="L42" t="inlineStr">
        <is>
          <t>Distribuidor</t>
        </is>
      </c>
      <c r="M42" t="inlineStr">
        <is>
          <t>Pendiente</t>
        </is>
      </c>
      <c r="N42" t="inlineStr">
        <is>
          <t>Alta</t>
        </is>
      </c>
      <c r="O42" t="n">
        <v>-5</v>
      </c>
      <c r="P42" s="14" t="n">
        <v>6117</v>
      </c>
      <c r="Q42" s="15" t="n">
        <v>0.05</v>
      </c>
      <c r="R42" s="14" t="n">
        <v>3425.52</v>
      </c>
      <c r="S42" s="12" t="n">
        <v>46078</v>
      </c>
      <c r="T42" s="12" t="n">
        <v>46084</v>
      </c>
      <c r="U42" t="inlineStr">
        <is>
          <t>Resp 6</t>
        </is>
      </c>
      <c r="V42" t="inlineStr">
        <is>
          <t>archivo_06.csv</t>
        </is>
      </c>
      <c r="W42" s="14" t="n">
        <v>-30585</v>
      </c>
      <c r="X42" s="14" t="n">
        <v>-1529.25</v>
      </c>
      <c r="Y42" s="14" t="n">
        <v>-29055.75</v>
      </c>
      <c r="Z42" s="14" t="n">
        <v>-17127.6</v>
      </c>
      <c r="AA42" s="14" t="n">
        <v>-11928.15</v>
      </c>
      <c r="AB42" s="15" t="n">
        <v>0.4105263157894737</v>
      </c>
      <c r="AC42" t="n">
        <v>14</v>
      </c>
      <c r="AD42" t="inlineStr">
        <is>
          <t>NORTE|OP-000041|20260217|P-100</t>
        </is>
      </c>
      <c r="AE42" t="n">
        <v>1</v>
      </c>
    </row>
    <row r="43">
      <c r="A43" t="n">
        <v>42</v>
      </c>
      <c r="B43" t="inlineStr">
        <is>
          <t>OP-000042</t>
        </is>
      </c>
      <c r="C43" s="12" t="n">
        <v>46077</v>
      </c>
      <c r="D43" s="13" t="n">
        <v>0.5625</v>
      </c>
      <c r="E43" t="inlineStr">
        <is>
          <t>C-0008</t>
        </is>
      </c>
      <c r="F43" t="inlineStr">
        <is>
          <t>Cliente 8</t>
        </is>
      </c>
      <c r="G43" t="inlineStr">
        <is>
          <t>P-200</t>
        </is>
      </c>
      <c r="H43" t="inlineStr">
        <is>
          <t>Teclado</t>
        </is>
      </c>
      <c r="I43" t="inlineStr">
        <is>
          <t>Tecnologia</t>
        </is>
      </c>
      <c r="J43" t="inlineStr">
        <is>
          <t>Centro</t>
        </is>
      </c>
      <c r="K43" t="inlineStr">
        <is>
          <t>SUC-03</t>
        </is>
      </c>
      <c r="L43" t="inlineStr">
        <is>
          <t>Digital</t>
        </is>
      </c>
      <c r="M43" t="inlineStr">
        <is>
          <t>Cancelado</t>
        </is>
      </c>
      <c r="N43" t="inlineStr">
        <is>
          <t>Media</t>
        </is>
      </c>
      <c r="O43" t="n">
        <v>33</v>
      </c>
      <c r="P43" s="14" t="n">
        <v>6254</v>
      </c>
      <c r="Q43" s="15" t="n">
        <v>0.1</v>
      </c>
      <c r="R43" s="14" t="n">
        <v>3564.78</v>
      </c>
      <c r="S43" s="12" t="n">
        <v>46086</v>
      </c>
      <c r="T43" s="12" t="n">
        <v>46092</v>
      </c>
      <c r="U43" t="inlineStr">
        <is>
          <t>Resp 7</t>
        </is>
      </c>
      <c r="V43" t="inlineStr">
        <is>
          <t>archivo_01.csv</t>
        </is>
      </c>
      <c r="W43" s="14" t="n">
        <v>206382</v>
      </c>
      <c r="X43" s="14" t="n">
        <v>20638.2</v>
      </c>
      <c r="Y43" s="14" t="n">
        <v>185743.8</v>
      </c>
      <c r="Z43" s="14" t="n">
        <v>117637.74</v>
      </c>
      <c r="AA43" s="14" t="n">
        <v>68106.05999999998</v>
      </c>
      <c r="AB43" s="15" t="n">
        <v>0.3666666666666666</v>
      </c>
      <c r="AC43" t="n">
        <v>15</v>
      </c>
      <c r="AD43" t="inlineStr">
        <is>
          <t>CENTRO|OP-000042|20260224|P-200</t>
        </is>
      </c>
      <c r="AE43" t="n">
        <v>1</v>
      </c>
    </row>
    <row r="44">
      <c r="A44" t="n">
        <v>43</v>
      </c>
      <c r="B44" t="inlineStr">
        <is>
          <t>OP-000043</t>
        </is>
      </c>
      <c r="C44" s="12" t="n">
        <v>46084</v>
      </c>
      <c r="D44" s="13" t="n">
        <v>0.6076388888888888</v>
      </c>
      <c r="E44" t="inlineStr">
        <is>
          <t>C-0009</t>
        </is>
      </c>
      <c r="F44" t="inlineStr">
        <is>
          <t>Cliente 9</t>
        </is>
      </c>
      <c r="G44" t="inlineStr">
        <is>
          <t>P-300</t>
        </is>
      </c>
      <c r="H44" t="inlineStr">
        <is>
          <t>Mouse</t>
        </is>
      </c>
      <c r="I44" t="inlineStr">
        <is>
          <t>Tecnologia</t>
        </is>
      </c>
      <c r="J44" t="inlineStr">
        <is>
          <t>Sur</t>
        </is>
      </c>
      <c r="K44" t="inlineStr">
        <is>
          <t>SUC-04</t>
        </is>
      </c>
      <c r="L44" t="inlineStr">
        <is>
          <t>Tienda</t>
        </is>
      </c>
      <c r="M44" t="inlineStr">
        <is>
          <t>En revision</t>
        </is>
      </c>
      <c r="N44" t="inlineStr">
        <is>
          <t>Baja</t>
        </is>
      </c>
      <c r="O44" t="n">
        <v>36</v>
      </c>
      <c r="P44" s="14" t="n">
        <v>6391</v>
      </c>
      <c r="Q44" s="15" t="n">
        <v>0.15</v>
      </c>
      <c r="R44" s="14" t="n">
        <v>3706.78</v>
      </c>
      <c r="S44" s="12" t="n">
        <v>46094</v>
      </c>
      <c r="T44" s="12" t="n">
        <v>46100</v>
      </c>
      <c r="U44" t="inlineStr">
        <is>
          <t>Resp 8</t>
        </is>
      </c>
      <c r="V44" t="inlineStr">
        <is>
          <t>archivo_02.csv</t>
        </is>
      </c>
      <c r="W44" s="14" t="n">
        <v>230076</v>
      </c>
      <c r="X44" s="14" t="n">
        <v>34511.4</v>
      </c>
      <c r="Y44" s="14" t="n">
        <v>195564.6</v>
      </c>
      <c r="Z44" s="14" t="n">
        <v>133444.08</v>
      </c>
      <c r="AA44" s="14" t="n">
        <v>62120.51999999999</v>
      </c>
      <c r="AB44" s="15" t="n">
        <v>0.3176470588235293</v>
      </c>
      <c r="AC44" t="n">
        <v>16</v>
      </c>
      <c r="AD44" t="inlineStr">
        <is>
          <t>SUR|OP-000043|20260303|P-300</t>
        </is>
      </c>
      <c r="AE44" t="n">
        <v>1</v>
      </c>
    </row>
    <row r="45">
      <c r="A45" t="n">
        <v>44</v>
      </c>
      <c r="B45" t="inlineStr">
        <is>
          <t>OP-000044</t>
        </is>
      </c>
      <c r="C45" s="12" t="n">
        <v>46091</v>
      </c>
      <c r="D45" s="13" t="n">
        <v>0.6527777777777778</v>
      </c>
      <c r="E45" t="inlineStr">
        <is>
          <t>C-0010</t>
        </is>
      </c>
      <c r="F45" t="inlineStr">
        <is>
          <t>Cliente 10</t>
        </is>
      </c>
      <c r="G45" t="inlineStr">
        <is>
          <t>P-400</t>
        </is>
      </c>
      <c r="H45" t="inlineStr">
        <is>
          <t>Laptop</t>
        </is>
      </c>
      <c r="I45" t="inlineStr">
        <is>
          <t>Tecnologia</t>
        </is>
      </c>
      <c r="J45" t="inlineStr">
        <is>
          <t>Pacifico</t>
        </is>
      </c>
      <c r="K45" t="inlineStr">
        <is>
          <t>SUC-05</t>
        </is>
      </c>
      <c r="L45" t="inlineStr">
        <is>
          <t>Distribuidor</t>
        </is>
      </c>
      <c r="M45" t="inlineStr">
        <is>
          <t>Aprobado</t>
        </is>
      </c>
      <c r="N45" t="inlineStr">
        <is>
          <t>Critica</t>
        </is>
      </c>
      <c r="O45" t="n">
        <v>39</v>
      </c>
      <c r="P45" s="14" t="n">
        <v>6528</v>
      </c>
      <c r="Q45" s="15" t="n">
        <v>0</v>
      </c>
      <c r="R45" s="14" t="n">
        <v>3851.52</v>
      </c>
      <c r="S45" s="12" t="n">
        <v>46102</v>
      </c>
      <c r="T45" s="12" t="n">
        <v>46108</v>
      </c>
      <c r="U45" t="inlineStr">
        <is>
          <t>Resp 9</t>
        </is>
      </c>
      <c r="V45" t="inlineStr">
        <is>
          <t>archivo_03.csv</t>
        </is>
      </c>
      <c r="W45" s="14" t="n">
        <v>254592</v>
      </c>
      <c r="X45" s="14" t="n">
        <v>0</v>
      </c>
      <c r="Y45" s="14" t="n">
        <v>254592</v>
      </c>
      <c r="Z45" s="14" t="n">
        <v>150209.28</v>
      </c>
      <c r="AA45" s="14" t="n">
        <v>104382.72</v>
      </c>
      <c r="AB45" s="15" t="n">
        <v>0.41</v>
      </c>
      <c r="AC45" t="n">
        <v>17</v>
      </c>
      <c r="AD45" t="inlineStr">
        <is>
          <t>PACIFICO|OP-000044|20260310|P-400</t>
        </is>
      </c>
      <c r="AE45" t="n">
        <v>1</v>
      </c>
    </row>
    <row r="46">
      <c r="A46" t="n">
        <v>45</v>
      </c>
      <c r="B46" t="inlineStr">
        <is>
          <t>OP-000045</t>
        </is>
      </c>
      <c r="C46" s="12" t="n">
        <v>46098</v>
      </c>
      <c r="D46" s="13" t="n">
        <v>0.6979166666666666</v>
      </c>
      <c r="E46" t="inlineStr">
        <is>
          <t>C-0011</t>
        </is>
      </c>
      <c r="F46" t="inlineStr">
        <is>
          <t>Cliente 11</t>
        </is>
      </c>
      <c r="G46" t="inlineStr">
        <is>
          <t>P-500</t>
        </is>
      </c>
      <c r="H46" t="inlineStr">
        <is>
          <t>Dock</t>
        </is>
      </c>
      <c r="I46" t="inlineStr">
        <is>
          <t>Tecnologia</t>
        </is>
      </c>
      <c r="J46" t="inlineStr">
        <is>
          <t>Norte</t>
        </is>
      </c>
      <c r="K46" t="inlineStr">
        <is>
          <t>SUC-06</t>
        </is>
      </c>
      <c r="L46" t="inlineStr">
        <is>
          <t>Digital</t>
        </is>
      </c>
      <c r="M46" t="inlineStr">
        <is>
          <t>Pendiente</t>
        </is>
      </c>
      <c r="N46" t="inlineStr">
        <is>
          <t>Alta</t>
        </is>
      </c>
      <c r="O46" t="n">
        <v>42</v>
      </c>
      <c r="P46" s="14" t="n">
        <v>6665</v>
      </c>
      <c r="Q46" s="15" t="n">
        <v>0.05</v>
      </c>
      <c r="R46" s="14" t="n">
        <v>3999</v>
      </c>
      <c r="S46" s="12" t="n">
        <v>46110</v>
      </c>
      <c r="T46" s="12" t="n">
        <v>46101</v>
      </c>
      <c r="U46" t="inlineStr">
        <is>
          <t>Resp 10</t>
        </is>
      </c>
      <c r="V46" t="inlineStr">
        <is>
          <t>archivo_04.csv</t>
        </is>
      </c>
      <c r="W46" s="14" t="n">
        <v>279930</v>
      </c>
      <c r="X46" s="14" t="n">
        <v>13996.5</v>
      </c>
      <c r="Y46" s="14" t="n">
        <v>265933.5</v>
      </c>
      <c r="Z46" s="14" t="n">
        <v>167958</v>
      </c>
      <c r="AA46" s="14" t="n">
        <v>97975.5</v>
      </c>
      <c r="AB46" s="15" t="n">
        <v>0.3684210526315789</v>
      </c>
      <c r="AC46" t="n">
        <v>3</v>
      </c>
      <c r="AD46" t="inlineStr">
        <is>
          <t>NORTE|OP-000045|20260317|P-500</t>
        </is>
      </c>
      <c r="AE46" t="n">
        <v>1</v>
      </c>
    </row>
    <row r="47">
      <c r="A47" t="n">
        <v>46</v>
      </c>
      <c r="B47" t="inlineStr">
        <is>
          <t>OP-000046</t>
        </is>
      </c>
      <c r="C47" s="12" t="n">
        <v>46105</v>
      </c>
      <c r="D47" s="13" t="n">
        <v>0.7430555555555556</v>
      </c>
      <c r="E47" t="inlineStr">
        <is>
          <t>C-0012</t>
        </is>
      </c>
      <c r="F47" t="inlineStr">
        <is>
          <t>Cliente 12</t>
        </is>
      </c>
      <c r="G47" t="inlineStr">
        <is>
          <t>P-100</t>
        </is>
      </c>
      <c r="H47" t="inlineStr">
        <is>
          <t>Monitor 24</t>
        </is>
      </c>
      <c r="I47" t="inlineStr">
        <is>
          <t>Tecnologia</t>
        </is>
      </c>
      <c r="J47" t="inlineStr">
        <is>
          <t>Centro</t>
        </is>
      </c>
      <c r="K47" t="inlineStr">
        <is>
          <t>SUC-07</t>
        </is>
      </c>
      <c r="L47" t="inlineStr">
        <is>
          <t>Tienda</t>
        </is>
      </c>
      <c r="M47" t="inlineStr">
        <is>
          <t>Cancelado</t>
        </is>
      </c>
      <c r="N47" t="inlineStr">
        <is>
          <t>Media</t>
        </is>
      </c>
      <c r="O47" t="n">
        <v>45</v>
      </c>
      <c r="P47" s="14" t="n">
        <v>6802</v>
      </c>
      <c r="Q47" s="15" t="n">
        <v>0.1</v>
      </c>
      <c r="R47" s="14" t="n">
        <v>4149.22</v>
      </c>
      <c r="S47" s="12" t="n">
        <v>46118</v>
      </c>
      <c r="T47" s="12" t="n">
        <v>46109</v>
      </c>
      <c r="U47" t="inlineStr">
        <is>
          <t>Resp 11</t>
        </is>
      </c>
      <c r="V47" t="inlineStr">
        <is>
          <t>archivo_05.csv</t>
        </is>
      </c>
      <c r="W47" s="14" t="n">
        <v>306090</v>
      </c>
      <c r="X47" s="14" t="n">
        <v>30609</v>
      </c>
      <c r="Y47" s="14" t="n">
        <v>275481</v>
      </c>
      <c r="Z47" s="14" t="n">
        <v>186714.9</v>
      </c>
      <c r="AA47" s="14" t="n">
        <v>88766.09999999998</v>
      </c>
      <c r="AB47" s="15" t="n">
        <v>0.3222222222222221</v>
      </c>
      <c r="AC47" t="n">
        <v>4</v>
      </c>
      <c r="AD47" t="inlineStr">
        <is>
          <t>CENTRO|OP-000046|20260324|P-100</t>
        </is>
      </c>
      <c r="AE47" t="n">
        <v>1</v>
      </c>
    </row>
    <row r="48">
      <c r="A48" t="n">
        <v>47</v>
      </c>
      <c r="B48" t="inlineStr">
        <is>
          <t>OP-000047</t>
        </is>
      </c>
      <c r="C48" s="12" t="n">
        <v>46112</v>
      </c>
      <c r="D48" s="13" t="n">
        <v>0.7881944444444444</v>
      </c>
      <c r="E48" t="inlineStr">
        <is>
          <t>C-0013</t>
        </is>
      </c>
      <c r="F48" t="inlineStr">
        <is>
          <t>Cliente 13</t>
        </is>
      </c>
      <c r="G48" t="inlineStr">
        <is>
          <t>P-200</t>
        </is>
      </c>
      <c r="H48" t="inlineStr">
        <is>
          <t>Teclado</t>
        </is>
      </c>
      <c r="I48" t="inlineStr">
        <is>
          <t>Tecnologia</t>
        </is>
      </c>
      <c r="J48" t="inlineStr">
        <is>
          <t>Sur</t>
        </is>
      </c>
      <c r="K48" t="inlineStr">
        <is>
          <t>SUC-08</t>
        </is>
      </c>
      <c r="L48" t="inlineStr">
        <is>
          <t>Distribuidor</t>
        </is>
      </c>
      <c r="M48" t="inlineStr">
        <is>
          <t>En revision</t>
        </is>
      </c>
      <c r="N48" t="inlineStr">
        <is>
          <t>Baja</t>
        </is>
      </c>
      <c r="O48" t="n">
        <v>1</v>
      </c>
      <c r="P48" s="14" t="n">
        <v>6939</v>
      </c>
      <c r="Q48" s="15" t="n">
        <v>0.15</v>
      </c>
      <c r="R48" s="14" t="n">
        <v>4302.18</v>
      </c>
      <c r="S48" s="12" t="n">
        <v>46126</v>
      </c>
      <c r="T48" s="12" t="n">
        <v>46117</v>
      </c>
      <c r="U48" t="inlineStr">
        <is>
          <t>Resp 12</t>
        </is>
      </c>
      <c r="V48" t="inlineStr">
        <is>
          <t>archivo_06.csv</t>
        </is>
      </c>
      <c r="W48" s="14" t="n">
        <v>6939</v>
      </c>
      <c r="X48" s="14" t="n">
        <v>1040.85</v>
      </c>
      <c r="Y48" s="14" t="n">
        <v>5898.15</v>
      </c>
      <c r="Z48" s="14" t="n">
        <v>4302.18</v>
      </c>
      <c r="AA48" s="14" t="n">
        <v>1595.969999999999</v>
      </c>
      <c r="AB48" s="15" t="n">
        <v>0.2705882352941176</v>
      </c>
      <c r="AC48" t="n">
        <v>5</v>
      </c>
      <c r="AD48" t="inlineStr">
        <is>
          <t>SUR|OP-000047|20260331|P-200</t>
        </is>
      </c>
      <c r="AE48" t="n">
        <v>1</v>
      </c>
    </row>
    <row r="49">
      <c r="A49" t="n">
        <v>48</v>
      </c>
      <c r="B49" t="inlineStr">
        <is>
          <t>OP-000048</t>
        </is>
      </c>
      <c r="C49" s="12" t="n">
        <v>46119</v>
      </c>
      <c r="D49" s="13" t="n">
        <v>0.2916666666666667</v>
      </c>
      <c r="E49" t="inlineStr">
        <is>
          <t>C-0014</t>
        </is>
      </c>
      <c r="F49" t="inlineStr">
        <is>
          <t>Cliente 14</t>
        </is>
      </c>
      <c r="G49" t="inlineStr">
        <is>
          <t>P-300</t>
        </is>
      </c>
      <c r="H49" t="inlineStr">
        <is>
          <t>Mouse</t>
        </is>
      </c>
      <c r="I49" t="inlineStr">
        <is>
          <t>Tecnologia</t>
        </is>
      </c>
      <c r="J49" t="inlineStr">
        <is>
          <t>Pacifico</t>
        </is>
      </c>
      <c r="K49" t="inlineStr">
        <is>
          <t>SUC-01</t>
        </is>
      </c>
      <c r="L49" t="inlineStr">
        <is>
          <t>Digital</t>
        </is>
      </c>
      <c r="M49" t="inlineStr">
        <is>
          <t>Aprobado</t>
        </is>
      </c>
      <c r="N49" t="inlineStr">
        <is>
          <t>Critica</t>
        </is>
      </c>
      <c r="O49" t="n">
        <v>4</v>
      </c>
      <c r="P49" s="14" t="n">
        <v>7076</v>
      </c>
      <c r="Q49" s="15" t="n">
        <v>0</v>
      </c>
      <c r="R49" s="14" t="n">
        <v>3891.8</v>
      </c>
      <c r="S49" s="12" t="n">
        <v>46134</v>
      </c>
      <c r="T49" s="12" t="n">
        <v>46125</v>
      </c>
      <c r="U49" t="inlineStr">
        <is>
          <t>Resp 1</t>
        </is>
      </c>
      <c r="V49" t="inlineStr">
        <is>
          <t>archivo_01.csv</t>
        </is>
      </c>
      <c r="W49" s="14" t="n">
        <v>28304</v>
      </c>
      <c r="X49" s="14" t="n">
        <v>0</v>
      </c>
      <c r="Y49" s="14" t="n">
        <v>28304</v>
      </c>
      <c r="Z49" s="14" t="n">
        <v>15567.2</v>
      </c>
      <c r="AA49" s="14" t="n">
        <v>12736.8</v>
      </c>
      <c r="AB49" s="15" t="n">
        <v>0.45</v>
      </c>
      <c r="AC49" t="n">
        <v>6</v>
      </c>
      <c r="AD49" t="inlineStr">
        <is>
          <t>PACIFICO|OP-000048|20260407|P-300</t>
        </is>
      </c>
      <c r="AE49" t="n">
        <v>1</v>
      </c>
    </row>
    <row r="50">
      <c r="A50" t="n">
        <v>49</v>
      </c>
      <c r="B50" t="inlineStr">
        <is>
          <t>OP-000049</t>
        </is>
      </c>
      <c r="C50" s="12" t="n">
        <v>46126</v>
      </c>
      <c r="D50" s="13" t="n">
        <v>0.3368055555555556</v>
      </c>
      <c r="E50" t="inlineStr">
        <is>
          <t>C-0015</t>
        </is>
      </c>
      <c r="F50" t="inlineStr">
        <is>
          <t>Cliente 15</t>
        </is>
      </c>
      <c r="G50" t="inlineStr">
        <is>
          <t>P-400</t>
        </is>
      </c>
      <c r="H50" t="inlineStr">
        <is>
          <t>Laptop</t>
        </is>
      </c>
      <c r="I50" t="inlineStr">
        <is>
          <t>Tecnologia</t>
        </is>
      </c>
      <c r="J50" t="inlineStr">
        <is>
          <t>Norte</t>
        </is>
      </c>
      <c r="K50" t="inlineStr">
        <is>
          <t>SUC-02</t>
        </is>
      </c>
      <c r="L50" t="inlineStr">
        <is>
          <t>Tienda</t>
        </is>
      </c>
      <c r="M50" t="inlineStr">
        <is>
          <t>Pendiente</t>
        </is>
      </c>
      <c r="N50" t="inlineStr">
        <is>
          <t>Alta</t>
        </is>
      </c>
      <c r="O50" t="n">
        <v>7</v>
      </c>
      <c r="P50" s="14" t="n">
        <v>7213</v>
      </c>
      <c r="Q50" s="15" t="n">
        <v>0.05</v>
      </c>
      <c r="R50" s="14" t="n">
        <v>4039.28</v>
      </c>
      <c r="S50" s="12" t="n">
        <v>46142</v>
      </c>
      <c r="T50" s="12" t="n">
        <v>46133</v>
      </c>
      <c r="U50" t="inlineStr">
        <is>
          <t>Resp 2</t>
        </is>
      </c>
      <c r="V50" t="inlineStr">
        <is>
          <t>archivo_02.csv</t>
        </is>
      </c>
      <c r="W50" s="14" t="n">
        <v>50491</v>
      </c>
      <c r="X50" s="14" t="n">
        <v>2524.55</v>
      </c>
      <c r="Y50" s="14" t="n">
        <v>47966.45</v>
      </c>
      <c r="Z50" s="14" t="n">
        <v>28274.96</v>
      </c>
      <c r="AA50" s="14" t="n">
        <v>19691.48999999999</v>
      </c>
      <c r="AB50" s="15" t="n">
        <v>0.4105263157894736</v>
      </c>
      <c r="AC50" t="n">
        <v>7</v>
      </c>
      <c r="AD50" t="inlineStr">
        <is>
          <t>NORTE|OP-000049|20260414|P-400</t>
        </is>
      </c>
      <c r="AE50" t="n">
        <v>1</v>
      </c>
    </row>
    <row r="51">
      <c r="A51" t="n">
        <v>50</v>
      </c>
      <c r="B51" t="inlineStr">
        <is>
          <t>OP-000050</t>
        </is>
      </c>
      <c r="C51" s="12" t="n">
        <v>46133</v>
      </c>
      <c r="D51" s="13" t="n">
        <v>0.3819444444444444</v>
      </c>
      <c r="E51" t="inlineStr">
        <is>
          <t>C-0016</t>
        </is>
      </c>
      <c r="F51" t="inlineStr">
        <is>
          <t>Cliente 16</t>
        </is>
      </c>
      <c r="G51" t="inlineStr">
        <is>
          <t>P-500</t>
        </is>
      </c>
      <c r="H51" t="inlineStr">
        <is>
          <t>Dock</t>
        </is>
      </c>
      <c r="I51" t="inlineStr">
        <is>
          <t>Tecnologia</t>
        </is>
      </c>
      <c r="J51" t="inlineStr">
        <is>
          <t>Centro</t>
        </is>
      </c>
      <c r="K51" t="inlineStr">
        <is>
          <t>SUC-03</t>
        </is>
      </c>
      <c r="L51" t="inlineStr">
        <is>
          <t>Distribuidor</t>
        </is>
      </c>
      <c r="M51" t="inlineStr">
        <is>
          <t>Cancelado</t>
        </is>
      </c>
      <c r="N51" t="inlineStr">
        <is>
          <t>Media</t>
        </is>
      </c>
      <c r="O51" t="n">
        <v>10</v>
      </c>
      <c r="P51" s="14" t="n">
        <v>7350</v>
      </c>
      <c r="Q51" s="15" t="n">
        <v>0.1</v>
      </c>
      <c r="R51" s="14" t="n">
        <v>4189.5</v>
      </c>
      <c r="S51" s="12" t="n">
        <v>46140</v>
      </c>
      <c r="T51" s="12" t="n">
        <v>46141</v>
      </c>
      <c r="U51" t="inlineStr">
        <is>
          <t>Resp 3</t>
        </is>
      </c>
      <c r="V51" t="inlineStr">
        <is>
          <t>archivo_03.csv</t>
        </is>
      </c>
      <c r="W51" s="14" t="n">
        <v>73500</v>
      </c>
      <c r="X51" s="14" t="n">
        <v>7350</v>
      </c>
      <c r="Y51" s="14" t="n">
        <v>66150</v>
      </c>
      <c r="Z51" s="14" t="n">
        <v>41895</v>
      </c>
      <c r="AA51" s="14" t="n">
        <v>24255</v>
      </c>
      <c r="AB51" s="15" t="n">
        <v>0.3666666666666666</v>
      </c>
      <c r="AC51" t="n">
        <v>8</v>
      </c>
      <c r="AD51" t="inlineStr">
        <is>
          <t>CENTRO|OP-000050|20260421|P-500</t>
        </is>
      </c>
      <c r="AE51" t="n">
        <v>1</v>
      </c>
    </row>
    <row r="52">
      <c r="A52" t="n">
        <v>51</v>
      </c>
      <c r="B52" t="inlineStr">
        <is>
          <t>OP-000051</t>
        </is>
      </c>
      <c r="C52" s="12" t="n">
        <v>46140</v>
      </c>
      <c r="D52" s="13" t="n">
        <v>0.4270833333333333</v>
      </c>
      <c r="E52" t="inlineStr">
        <is>
          <t>C-0017</t>
        </is>
      </c>
      <c r="F52" t="inlineStr">
        <is>
          <t>Cliente 17</t>
        </is>
      </c>
      <c r="G52" t="inlineStr">
        <is>
          <t>P-100</t>
        </is>
      </c>
      <c r="H52" t="inlineStr">
        <is>
          <t>Monitor 24</t>
        </is>
      </c>
      <c r="I52" t="inlineStr">
        <is>
          <t>Tecnologia</t>
        </is>
      </c>
      <c r="J52" t="inlineStr">
        <is>
          <t>Sur</t>
        </is>
      </c>
      <c r="K52" t="inlineStr">
        <is>
          <t>SUC-04</t>
        </is>
      </c>
      <c r="L52" t="inlineStr">
        <is>
          <t>Digital</t>
        </is>
      </c>
      <c r="M52" t="inlineStr">
        <is>
          <t>En revision</t>
        </is>
      </c>
      <c r="N52" t="inlineStr">
        <is>
          <t>Baja</t>
        </is>
      </c>
      <c r="O52" t="n">
        <v>13</v>
      </c>
      <c r="P52" s="14" t="n">
        <v>7487</v>
      </c>
      <c r="Q52" s="15" t="n">
        <v>0.15</v>
      </c>
      <c r="R52" s="14" t="n">
        <v>4342.46</v>
      </c>
      <c r="S52" s="12" t="n">
        <v>46148</v>
      </c>
      <c r="T52" s="12" t="n">
        <v>46149</v>
      </c>
      <c r="U52" t="inlineStr">
        <is>
          <t>Resp 4</t>
        </is>
      </c>
      <c r="V52" t="inlineStr">
        <is>
          <t>archivo_04.csv</t>
        </is>
      </c>
      <c r="W52" s="14" t="n">
        <v>97331</v>
      </c>
      <c r="X52" s="14" t="n">
        <v>14599.65</v>
      </c>
      <c r="Y52" s="14" t="n">
        <v>82731.35000000001</v>
      </c>
      <c r="Z52" s="14" t="n">
        <v>56451.98</v>
      </c>
      <c r="AA52" s="14" t="n">
        <v>26279.37</v>
      </c>
      <c r="AB52" s="15" t="n">
        <v>0.3176470588235294</v>
      </c>
      <c r="AC52" t="n">
        <v>9</v>
      </c>
      <c r="AD52" t="inlineStr">
        <is>
          <t>SUR|OP-000051|20260428|P-100</t>
        </is>
      </c>
      <c r="AE52" t="n">
        <v>1</v>
      </c>
    </row>
    <row r="53">
      <c r="A53" t="n">
        <v>52</v>
      </c>
      <c r="B53" t="inlineStr">
        <is>
          <t>OP-000052</t>
        </is>
      </c>
      <c r="C53" s="12" t="n">
        <v>46147</v>
      </c>
      <c r="D53" s="13" t="n">
        <v>0.4722222222222222</v>
      </c>
      <c r="E53" t="inlineStr">
        <is>
          <t>C-0018</t>
        </is>
      </c>
      <c r="F53" t="inlineStr">
        <is>
          <t>Cliente 18</t>
        </is>
      </c>
      <c r="G53" t="inlineStr">
        <is>
          <t>P-200</t>
        </is>
      </c>
      <c r="H53" t="inlineStr">
        <is>
          <t>Teclado</t>
        </is>
      </c>
      <c r="I53" t="inlineStr">
        <is>
          <t>Tecnologia</t>
        </is>
      </c>
      <c r="J53" t="inlineStr">
        <is>
          <t>Pacifico</t>
        </is>
      </c>
      <c r="K53" t="inlineStr">
        <is>
          <t>SUC-05</t>
        </is>
      </c>
      <c r="L53" t="inlineStr">
        <is>
          <t>Tienda</t>
        </is>
      </c>
      <c r="M53" t="inlineStr">
        <is>
          <t>Aprobado</t>
        </is>
      </c>
      <c r="N53" t="inlineStr">
        <is>
          <t>Critica</t>
        </is>
      </c>
      <c r="O53" t="n">
        <v>16</v>
      </c>
      <c r="P53" s="14" t="n">
        <v>7624</v>
      </c>
      <c r="Q53" s="15" t="n">
        <v>0</v>
      </c>
      <c r="R53" s="14" t="n">
        <v>4498.16</v>
      </c>
      <c r="S53" s="12" t="n">
        <v>46156</v>
      </c>
      <c r="T53" s="12" t="n">
        <v>46157</v>
      </c>
      <c r="U53" t="inlineStr">
        <is>
          <t>Resp 5</t>
        </is>
      </c>
      <c r="V53" t="inlineStr">
        <is>
          <t>archivo_05.csv</t>
        </is>
      </c>
      <c r="W53" s="14" t="n">
        <v>121984</v>
      </c>
      <c r="X53" s="14" t="n">
        <v>0</v>
      </c>
      <c r="Y53" s="14" t="n">
        <v>121984</v>
      </c>
      <c r="Z53" s="14" t="n">
        <v>71970.56</v>
      </c>
      <c r="AA53" s="14" t="n">
        <v>50013.44</v>
      </c>
      <c r="AB53" s="15" t="n">
        <v>0.41</v>
      </c>
      <c r="AC53" t="n">
        <v>10</v>
      </c>
      <c r="AD53" t="inlineStr">
        <is>
          <t>PACIFICO|OP-000052|20260505|P-200</t>
        </is>
      </c>
      <c r="AE53" t="n">
        <v>1</v>
      </c>
    </row>
    <row r="54">
      <c r="A54" t="n">
        <v>53</v>
      </c>
      <c r="B54" t="inlineStr">
        <is>
          <t>OP-000053</t>
        </is>
      </c>
      <c r="C54" s="12" t="n">
        <v>46154</v>
      </c>
      <c r="D54" s="13" t="n">
        <v>0.5173611111111112</v>
      </c>
      <c r="E54" t="inlineStr">
        <is>
          <t>C-0019</t>
        </is>
      </c>
      <c r="F54" t="inlineStr">
        <is>
          <t>Cliente 19</t>
        </is>
      </c>
      <c r="G54" t="inlineStr">
        <is>
          <t>P-300</t>
        </is>
      </c>
      <c r="H54" t="inlineStr">
        <is>
          <t>Mouse</t>
        </is>
      </c>
      <c r="I54" t="inlineStr">
        <is>
          <t>Tecnologia</t>
        </is>
      </c>
      <c r="J54" t="inlineStr">
        <is>
          <t>Norte</t>
        </is>
      </c>
      <c r="K54" t="inlineStr">
        <is>
          <t>SUC-06</t>
        </is>
      </c>
      <c r="L54" t="inlineStr">
        <is>
          <t>Distribuidor</t>
        </is>
      </c>
      <c r="M54" t="inlineStr">
        <is>
          <t>Pendiente</t>
        </is>
      </c>
      <c r="N54" t="inlineStr">
        <is>
          <t>Alta</t>
        </is>
      </c>
      <c r="O54" t="n">
        <v>19</v>
      </c>
      <c r="P54" s="14" t="n">
        <v>7761</v>
      </c>
      <c r="Q54" s="15" t="n">
        <v>0.05</v>
      </c>
      <c r="R54" s="14" t="n">
        <v>4656.6</v>
      </c>
      <c r="S54" s="12" t="n">
        <v>46164</v>
      </c>
      <c r="T54" s="12" t="n">
        <v>46165</v>
      </c>
      <c r="U54" t="inlineStr">
        <is>
          <t>Resp 6</t>
        </is>
      </c>
      <c r="V54" t="inlineStr">
        <is>
          <t>archivo_06.csv</t>
        </is>
      </c>
      <c r="W54" s="14" t="n">
        <v>147459</v>
      </c>
      <c r="X54" s="14" t="n">
        <v>7372.950000000001</v>
      </c>
      <c r="Y54" s="14" t="n">
        <v>140086.05</v>
      </c>
      <c r="Z54" s="14" t="n">
        <v>88475.40000000001</v>
      </c>
      <c r="AA54" s="14" t="n">
        <v>51610.64999999998</v>
      </c>
      <c r="AB54" s="15" t="n">
        <v>0.3684210526315788</v>
      </c>
      <c r="AC54" t="n">
        <v>11</v>
      </c>
      <c r="AD54" t="inlineStr">
        <is>
          <t>NORTE|OP-000053|20260512|P-300</t>
        </is>
      </c>
      <c r="AE54" t="n">
        <v>1</v>
      </c>
    </row>
    <row r="55">
      <c r="A55" t="n">
        <v>54</v>
      </c>
      <c r="B55" t="inlineStr">
        <is>
          <t>OP-000054</t>
        </is>
      </c>
      <c r="C55" s="12" t="n">
        <v>46161</v>
      </c>
      <c r="D55" s="13" t="n">
        <v>0.5625</v>
      </c>
      <c r="E55" t="inlineStr">
        <is>
          <t>C-0020</t>
        </is>
      </c>
      <c r="F55" t="inlineStr">
        <is>
          <t>Cliente 20</t>
        </is>
      </c>
      <c r="G55" t="inlineStr">
        <is>
          <t>P-400</t>
        </is>
      </c>
      <c r="H55" t="inlineStr">
        <is>
          <t>Laptop</t>
        </is>
      </c>
      <c r="I55" t="inlineStr">
        <is>
          <t>Tecnologia</t>
        </is>
      </c>
      <c r="J55" t="inlineStr">
        <is>
          <t>Centro</t>
        </is>
      </c>
      <c r="K55" t="inlineStr">
        <is>
          <t>SUC-07</t>
        </is>
      </c>
      <c r="L55" t="inlineStr">
        <is>
          <t>Digital</t>
        </is>
      </c>
      <c r="M55" t="inlineStr">
        <is>
          <t>Cancelado</t>
        </is>
      </c>
      <c r="N55" t="inlineStr">
        <is>
          <t>Media</t>
        </is>
      </c>
      <c r="O55" t="n">
        <v>22</v>
      </c>
      <c r="P55" s="14" t="n">
        <v>7898</v>
      </c>
      <c r="Q55" s="15" t="n">
        <v>0.1</v>
      </c>
      <c r="R55" s="14" t="n">
        <v>4817.78</v>
      </c>
      <c r="S55" s="12" t="n">
        <v>46172</v>
      </c>
      <c r="T55" s="12" t="n">
        <v>46173</v>
      </c>
      <c r="U55" t="inlineStr">
        <is>
          <t>Resp 7</t>
        </is>
      </c>
      <c r="V55" t="inlineStr">
        <is>
          <t>archivo_01.csv</t>
        </is>
      </c>
      <c r="W55" s="14" t="n">
        <v>173756</v>
      </c>
      <c r="X55" s="14" t="n">
        <v>17375.6</v>
      </c>
      <c r="Y55" s="14" t="n">
        <v>156380.4</v>
      </c>
      <c r="Z55" s="14" t="n">
        <v>105991.16</v>
      </c>
      <c r="AA55" s="14" t="n">
        <v>50389.24000000001</v>
      </c>
      <c r="AB55" s="15" t="n">
        <v>0.3222222222222222</v>
      </c>
      <c r="AC55" t="n">
        <v>12</v>
      </c>
      <c r="AD55" t="inlineStr">
        <is>
          <t>CENTRO|OP-000054|20260519|P-400</t>
        </is>
      </c>
      <c r="AE55" t="n">
        <v>1</v>
      </c>
    </row>
    <row r="56">
      <c r="A56" t="n">
        <v>55</v>
      </c>
      <c r="B56" t="inlineStr">
        <is>
          <t>OP-000055</t>
        </is>
      </c>
      <c r="C56" s="12" t="n">
        <v>46168</v>
      </c>
      <c r="D56" s="13" t="n">
        <v>0.6076388888888888</v>
      </c>
      <c r="E56" t="inlineStr">
        <is>
          <t>C-0021</t>
        </is>
      </c>
      <c r="F56" t="inlineStr">
        <is>
          <t>Cliente 21</t>
        </is>
      </c>
      <c r="G56" t="inlineStr">
        <is>
          <t>P-500</t>
        </is>
      </c>
      <c r="H56" t="inlineStr">
        <is>
          <t>Dock</t>
        </is>
      </c>
      <c r="I56" t="inlineStr">
        <is>
          <t>Tecnologia</t>
        </is>
      </c>
      <c r="J56" t="inlineStr">
        <is>
          <t>Sur</t>
        </is>
      </c>
      <c r="K56" t="inlineStr">
        <is>
          <t>SUC-08</t>
        </is>
      </c>
      <c r="L56" t="inlineStr">
        <is>
          <t>Tienda</t>
        </is>
      </c>
      <c r="M56" t="inlineStr">
        <is>
          <t>En revision</t>
        </is>
      </c>
      <c r="N56" t="inlineStr">
        <is>
          <t>Baja</t>
        </is>
      </c>
      <c r="O56" t="n">
        <v>25</v>
      </c>
      <c r="P56" s="14" t="n">
        <v>8035</v>
      </c>
      <c r="Q56" s="15" t="n">
        <v>0.15</v>
      </c>
      <c r="R56" s="14" t="n">
        <v>4981.7</v>
      </c>
      <c r="S56" s="12" t="n">
        <v>46180</v>
      </c>
      <c r="T56" s="12" t="n">
        <v>46181</v>
      </c>
      <c r="U56" t="inlineStr">
        <is>
          <t>Resp 8</t>
        </is>
      </c>
      <c r="V56" t="inlineStr">
        <is>
          <t>archivo_02.csv</t>
        </is>
      </c>
      <c r="W56" s="14" t="n">
        <v>200875</v>
      </c>
      <c r="X56" s="14" t="n">
        <v>30131.25</v>
      </c>
      <c r="Y56" s="14" t="n">
        <v>170743.75</v>
      </c>
      <c r="Z56" s="14" t="n">
        <v>124542.5</v>
      </c>
      <c r="AA56" s="14" t="n">
        <v>46201.25</v>
      </c>
      <c r="AB56" s="15" t="n">
        <v>0.2705882352941176</v>
      </c>
      <c r="AC56" t="n">
        <v>13</v>
      </c>
      <c r="AD56" t="inlineStr">
        <is>
          <t>SUR|OP-000055|20260526|P-500</t>
        </is>
      </c>
      <c r="AE56" t="n">
        <v>1</v>
      </c>
    </row>
    <row r="57">
      <c r="A57" t="n">
        <v>56</v>
      </c>
      <c r="B57" t="inlineStr">
        <is>
          <t>OP-000056</t>
        </is>
      </c>
      <c r="C57" s="12" t="n">
        <v>46175</v>
      </c>
      <c r="D57" s="13" t="n">
        <v>0.6527777777777778</v>
      </c>
      <c r="E57" t="inlineStr">
        <is>
          <t>C-0022</t>
        </is>
      </c>
      <c r="F57" t="inlineStr">
        <is>
          <t>Cliente 22</t>
        </is>
      </c>
      <c r="G57" t="inlineStr">
        <is>
          <t>P-100</t>
        </is>
      </c>
      <c r="H57" t="inlineStr">
        <is>
          <t>Monitor 24</t>
        </is>
      </c>
      <c r="I57" t="inlineStr">
        <is>
          <t>Tecnologia</t>
        </is>
      </c>
      <c r="J57" t="inlineStr">
        <is>
          <t>Pacifico</t>
        </is>
      </c>
      <c r="K57" t="inlineStr">
        <is>
          <t>SUC-01</t>
        </is>
      </c>
      <c r="L57" t="inlineStr">
        <is>
          <t>Distribuidor</t>
        </is>
      </c>
      <c r="M57" t="inlineStr">
        <is>
          <t>Aprobado</t>
        </is>
      </c>
      <c r="N57" t="inlineStr">
        <is>
          <t>Critica</t>
        </is>
      </c>
      <c r="O57" t="n">
        <v>28</v>
      </c>
      <c r="P57" s="14" t="n">
        <v>8172</v>
      </c>
      <c r="Q57" s="15" t="n">
        <v>0</v>
      </c>
      <c r="R57" s="14" t="n">
        <v>4494.6</v>
      </c>
      <c r="S57" s="12" t="n">
        <v>46188</v>
      </c>
      <c r="T57" s="12" t="n">
        <v>46189</v>
      </c>
      <c r="U57" t="inlineStr">
        <is>
          <t>Resp 9</t>
        </is>
      </c>
      <c r="V57" t="inlineStr">
        <is>
          <t>archivo_03.csv</t>
        </is>
      </c>
      <c r="W57" s="14" t="n">
        <v>228816</v>
      </c>
      <c r="X57" s="14" t="n">
        <v>0</v>
      </c>
      <c r="Y57" s="14" t="n">
        <v>228816</v>
      </c>
      <c r="Z57" s="14" t="n">
        <v>125848.8</v>
      </c>
      <c r="AA57" s="14" t="n">
        <v>102967.2</v>
      </c>
      <c r="AB57" s="15" t="n">
        <v>0.4499999999999999</v>
      </c>
      <c r="AC57" t="n">
        <v>14</v>
      </c>
      <c r="AD57" t="inlineStr">
        <is>
          <t>PACIFICO|OP-000056|20260602|P-100</t>
        </is>
      </c>
      <c r="AE57" t="n">
        <v>1</v>
      </c>
    </row>
    <row r="58">
      <c r="A58" t="n">
        <v>57</v>
      </c>
      <c r="B58" t="inlineStr">
        <is>
          <t>OP-000057</t>
        </is>
      </c>
      <c r="C58" s="12" t="n">
        <v>46182</v>
      </c>
      <c r="D58" s="13" t="n">
        <v>0.6979166666666666</v>
      </c>
      <c r="E58" t="inlineStr">
        <is>
          <t>C-0023</t>
        </is>
      </c>
      <c r="F58" t="inlineStr">
        <is>
          <t>Cliente 23</t>
        </is>
      </c>
      <c r="G58" t="inlineStr">
        <is>
          <t>P-200</t>
        </is>
      </c>
      <c r="H58" t="inlineStr">
        <is>
          <t>Teclado</t>
        </is>
      </c>
      <c r="I58" t="inlineStr">
        <is>
          <t>Tecnologia</t>
        </is>
      </c>
      <c r="J58" t="inlineStr">
        <is>
          <t>Norte</t>
        </is>
      </c>
      <c r="K58" t="inlineStr">
        <is>
          <t>SUC-02</t>
        </is>
      </c>
      <c r="L58" t="inlineStr">
        <is>
          <t>Digital</t>
        </is>
      </c>
      <c r="M58" t="inlineStr">
        <is>
          <t>Pendiente</t>
        </is>
      </c>
      <c r="N58" t="inlineStr">
        <is>
          <t>Alta</t>
        </is>
      </c>
      <c r="O58" t="n">
        <v>31</v>
      </c>
      <c r="P58" s="14" t="n">
        <v>8309</v>
      </c>
      <c r="Q58" s="15" t="n">
        <v>0.05</v>
      </c>
      <c r="R58" s="14" t="n">
        <v>4653.04</v>
      </c>
      <c r="S58" s="12" t="n">
        <v>46196</v>
      </c>
      <c r="T58" s="12" t="n">
        <v>46197</v>
      </c>
      <c r="U58" t="inlineStr">
        <is>
          <t>Resp 10</t>
        </is>
      </c>
      <c r="V58" t="inlineStr">
        <is>
          <t>archivo_04.csv</t>
        </is>
      </c>
      <c r="W58" s="14" t="n">
        <v>257579</v>
      </c>
      <c r="X58" s="14" t="n">
        <v>12878.95</v>
      </c>
      <c r="Y58" s="14" t="n">
        <v>244700.05</v>
      </c>
      <c r="Z58" s="14" t="n">
        <v>144244.24</v>
      </c>
      <c r="AA58" s="14" t="n">
        <v>100455.81</v>
      </c>
      <c r="AB58" s="15" t="n">
        <v>0.4105263157894737</v>
      </c>
      <c r="AC58" t="n">
        <v>15</v>
      </c>
      <c r="AD58" t="inlineStr">
        <is>
          <t>NORTE|OP-000057|20260609|P-200</t>
        </is>
      </c>
      <c r="AE58" t="n">
        <v>1</v>
      </c>
    </row>
    <row r="59">
      <c r="A59" t="n">
        <v>58</v>
      </c>
      <c r="B59" t="inlineStr">
        <is>
          <t>OP-000058</t>
        </is>
      </c>
      <c r="C59" s="12" t="n">
        <v>46189</v>
      </c>
      <c r="D59" s="13" t="n">
        <v>0.7430555555555556</v>
      </c>
      <c r="E59" t="inlineStr">
        <is>
          <t>C-0024</t>
        </is>
      </c>
      <c r="F59" t="inlineStr">
        <is>
          <t>Cliente 24</t>
        </is>
      </c>
      <c r="G59" t="inlineStr">
        <is>
          <t>P-300</t>
        </is>
      </c>
      <c r="H59" t="inlineStr">
        <is>
          <t>Mouse</t>
        </is>
      </c>
      <c r="I59" t="inlineStr">
        <is>
          <t>Tecnologia</t>
        </is>
      </c>
      <c r="J59" t="inlineStr">
        <is>
          <t>Centro</t>
        </is>
      </c>
      <c r="K59" t="inlineStr">
        <is>
          <t>SUC-03</t>
        </is>
      </c>
      <c r="L59" t="inlineStr">
        <is>
          <t>Tienda</t>
        </is>
      </c>
      <c r="M59" t="inlineStr">
        <is>
          <t>Cancelado</t>
        </is>
      </c>
      <c r="N59" t="inlineStr">
        <is>
          <t>Media</t>
        </is>
      </c>
      <c r="O59" t="n">
        <v>34</v>
      </c>
      <c r="P59" s="14" t="n">
        <v>8446</v>
      </c>
      <c r="Q59" s="15" t="n">
        <v>0.1</v>
      </c>
      <c r="R59" s="14" t="n">
        <v>4814.22</v>
      </c>
      <c r="S59" s="12" t="n">
        <v>46204</v>
      </c>
      <c r="T59" s="12" t="n">
        <v>46205</v>
      </c>
      <c r="U59" t="inlineStr">
        <is>
          <t>Resp 11</t>
        </is>
      </c>
      <c r="V59" t="inlineStr">
        <is>
          <t>archivo_05.csv</t>
        </is>
      </c>
      <c r="W59" s="14" t="n">
        <v>287164</v>
      </c>
      <c r="X59" s="14" t="n">
        <v>28716.4</v>
      </c>
      <c r="Y59" s="14" t="n">
        <v>258447.6</v>
      </c>
      <c r="Z59" s="14" t="n">
        <v>163683.48</v>
      </c>
      <c r="AA59" s="14" t="n">
        <v>94764.12</v>
      </c>
      <c r="AB59" s="15" t="n">
        <v>0.3666666666666666</v>
      </c>
      <c r="AC59" t="n">
        <v>16</v>
      </c>
      <c r="AD59" t="inlineStr">
        <is>
          <t>CENTRO|OP-000058|20260616|P-300</t>
        </is>
      </c>
      <c r="AE59" t="n">
        <v>1</v>
      </c>
    </row>
    <row r="60">
      <c r="A60" t="n">
        <v>59</v>
      </c>
      <c r="B60" t="inlineStr">
        <is>
          <t>OP-000059</t>
        </is>
      </c>
      <c r="C60" s="12" t="n">
        <v>46196</v>
      </c>
      <c r="D60" s="13" t="n">
        <v>0.7881944444444444</v>
      </c>
      <c r="E60" t="inlineStr">
        <is>
          <t>C-0025</t>
        </is>
      </c>
      <c r="F60" t="inlineStr">
        <is>
          <t>Cliente 25</t>
        </is>
      </c>
      <c r="G60" t="inlineStr">
        <is>
          <t>P-400</t>
        </is>
      </c>
      <c r="H60" t="inlineStr">
        <is>
          <t>Laptop</t>
        </is>
      </c>
      <c r="I60" t="inlineStr">
        <is>
          <t>Tecnologia</t>
        </is>
      </c>
      <c r="J60" t="inlineStr">
        <is>
          <t>Sur</t>
        </is>
      </c>
      <c r="K60" t="inlineStr">
        <is>
          <t>SUC-04</t>
        </is>
      </c>
      <c r="L60" t="inlineStr">
        <is>
          <t>Distribuidor</t>
        </is>
      </c>
      <c r="M60" t="inlineStr">
        <is>
          <t>En revision</t>
        </is>
      </c>
      <c r="N60" t="inlineStr">
        <is>
          <t>Baja</t>
        </is>
      </c>
      <c r="O60" t="n">
        <v>37</v>
      </c>
      <c r="P60" s="14" t="n">
        <v>8583</v>
      </c>
      <c r="Q60" s="15" t="n">
        <v>0.15</v>
      </c>
      <c r="R60" s="14" t="n">
        <v>4978.14</v>
      </c>
      <c r="S60" s="12" t="n">
        <v>46212</v>
      </c>
      <c r="T60" s="12" t="n">
        <v>46213</v>
      </c>
      <c r="U60" t="inlineStr">
        <is>
          <t>Resp 12</t>
        </is>
      </c>
      <c r="V60" t="inlineStr">
        <is>
          <t>archivo_06.csv</t>
        </is>
      </c>
      <c r="W60" s="14" t="n">
        <v>317571</v>
      </c>
      <c r="X60" s="14" t="n">
        <v>47635.65</v>
      </c>
      <c r="Y60" s="14" t="n">
        <v>269935.35</v>
      </c>
      <c r="Z60" s="14" t="n">
        <v>184191.18</v>
      </c>
      <c r="AA60" s="14" t="n">
        <v>85744.16999999995</v>
      </c>
      <c r="AB60" s="15" t="n">
        <v>0.3176470588235293</v>
      </c>
      <c r="AC60" t="n">
        <v>17</v>
      </c>
      <c r="AD60" t="inlineStr">
        <is>
          <t>SUR|OP-000059|20260623|P-400</t>
        </is>
      </c>
      <c r="AE60" t="n">
        <v>1</v>
      </c>
    </row>
    <row r="61">
      <c r="A61" t="n">
        <v>60</v>
      </c>
      <c r="B61" t="inlineStr">
        <is>
          <t>OP-000060</t>
        </is>
      </c>
      <c r="C61" s="12" t="n">
        <v>46203</v>
      </c>
      <c r="D61" s="13" t="n">
        <v>0.2916666666666667</v>
      </c>
      <c r="E61" t="inlineStr">
        <is>
          <t>C-0026</t>
        </is>
      </c>
      <c r="F61" t="inlineStr">
        <is>
          <t>Cliente 26</t>
        </is>
      </c>
      <c r="G61" t="inlineStr">
        <is>
          <t>P-500</t>
        </is>
      </c>
      <c r="H61" t="inlineStr">
        <is>
          <t>Dock</t>
        </is>
      </c>
      <c r="I61" t="inlineStr">
        <is>
          <t>Tecnologia</t>
        </is>
      </c>
      <c r="J61" t="inlineStr">
        <is>
          <t>Pacifico</t>
        </is>
      </c>
      <c r="K61" t="inlineStr">
        <is>
          <t>SUC-05</t>
        </is>
      </c>
      <c r="L61" t="inlineStr">
        <is>
          <t>Digital</t>
        </is>
      </c>
      <c r="M61" t="inlineStr">
        <is>
          <t>Aprobado</t>
        </is>
      </c>
      <c r="N61" t="inlineStr">
        <is>
          <t>Critica</t>
        </is>
      </c>
      <c r="O61" t="n">
        <v>40</v>
      </c>
      <c r="P61" s="14" t="n">
        <v>8720</v>
      </c>
      <c r="Q61" s="15" t="n">
        <v>0</v>
      </c>
      <c r="R61" s="14" t="n">
        <v>5144.8</v>
      </c>
      <c r="S61" s="12" t="n">
        <v>46210</v>
      </c>
      <c r="T61" s="12" t="n">
        <v>46206</v>
      </c>
      <c r="U61" t="inlineStr">
        <is>
          <t>Resp 1</t>
        </is>
      </c>
      <c r="V61" t="inlineStr">
        <is>
          <t>archivo_01.csv</t>
        </is>
      </c>
      <c r="W61" s="14" t="n">
        <v>348800</v>
      </c>
      <c r="X61" s="14" t="n">
        <v>0</v>
      </c>
      <c r="Y61" s="14" t="n">
        <v>348800</v>
      </c>
      <c r="Z61" s="14" t="n">
        <v>205792</v>
      </c>
      <c r="AA61" s="14" t="n">
        <v>143008</v>
      </c>
      <c r="AB61" s="15" t="n">
        <v>0.41</v>
      </c>
      <c r="AC61" t="n">
        <v>3</v>
      </c>
      <c r="AD61" t="inlineStr">
        <is>
          <t>PACIFICO|OP-000060|20260630|P-500</t>
        </is>
      </c>
      <c r="AE61" t="n">
        <v>1</v>
      </c>
    </row>
    <row r="62">
      <c r="A62" t="n">
        <v>61</v>
      </c>
      <c r="B62" t="inlineStr">
        <is>
          <t>OP-000061</t>
        </is>
      </c>
      <c r="C62" s="12" t="n">
        <v>46210</v>
      </c>
      <c r="D62" s="13" t="n">
        <v>0.3368055555555556</v>
      </c>
      <c r="E62" t="inlineStr">
        <is>
          <t>C-0027</t>
        </is>
      </c>
      <c r="F62" t="inlineStr">
        <is>
          <t>Cliente 27</t>
        </is>
      </c>
      <c r="G62" t="inlineStr">
        <is>
          <t>P-100</t>
        </is>
      </c>
      <c r="H62" t="inlineStr">
        <is>
          <t>Monitor 24</t>
        </is>
      </c>
      <c r="I62" t="inlineStr">
        <is>
          <t>Tecnologia</t>
        </is>
      </c>
      <c r="J62" t="inlineStr">
        <is>
          <t>Norte</t>
        </is>
      </c>
      <c r="K62" t="inlineStr">
        <is>
          <t>SUC-06</t>
        </is>
      </c>
      <c r="L62" t="inlineStr">
        <is>
          <t>Tienda</t>
        </is>
      </c>
      <c r="M62" t="inlineStr">
        <is>
          <t>Pendiente</t>
        </is>
      </c>
      <c r="N62" t="inlineStr">
        <is>
          <t>Alta</t>
        </is>
      </c>
      <c r="O62" t="n">
        <v>43</v>
      </c>
      <c r="P62" s="14" t="n">
        <v>8857</v>
      </c>
      <c r="Q62" s="15" t="n">
        <v>0.05</v>
      </c>
      <c r="R62" s="14" t="n">
        <v>5314.2</v>
      </c>
      <c r="S62" s="12" t="n">
        <v>46218</v>
      </c>
      <c r="T62" s="12" t="n">
        <v>46214</v>
      </c>
      <c r="U62" t="inlineStr">
        <is>
          <t>Resp 2</t>
        </is>
      </c>
      <c r="V62" t="inlineStr">
        <is>
          <t>archivo_02.csv</t>
        </is>
      </c>
      <c r="W62" s="14" t="n">
        <v>380851</v>
      </c>
      <c r="X62" s="14" t="n">
        <v>19042.55</v>
      </c>
      <c r="Y62" s="14" t="n">
        <v>361808.45</v>
      </c>
      <c r="Z62" s="14" t="n">
        <v>228510.6</v>
      </c>
      <c r="AA62" s="14" t="n">
        <v>133297.85</v>
      </c>
      <c r="AB62" s="15" t="n">
        <v>0.3684210526315789</v>
      </c>
      <c r="AC62" t="n">
        <v>4</v>
      </c>
      <c r="AD62" t="inlineStr">
        <is>
          <t>NORTE|OP-000061|20260707|P-100</t>
        </is>
      </c>
      <c r="AE62" t="n">
        <v>1</v>
      </c>
    </row>
    <row r="63">
      <c r="A63" t="n">
        <v>62</v>
      </c>
      <c r="B63" t="inlineStr">
        <is>
          <t>OP-000062</t>
        </is>
      </c>
      <c r="C63" s="12" t="n">
        <v>46217</v>
      </c>
      <c r="D63" s="13" t="n">
        <v>0.3819444444444444</v>
      </c>
      <c r="E63" t="inlineStr">
        <is>
          <t>C-0028</t>
        </is>
      </c>
      <c r="F63" t="inlineStr">
        <is>
          <t>Cliente 28</t>
        </is>
      </c>
      <c r="G63" t="inlineStr">
        <is>
          <t>P-200</t>
        </is>
      </c>
      <c r="H63" t="inlineStr">
        <is>
          <t>Teclado</t>
        </is>
      </c>
      <c r="I63" t="inlineStr">
        <is>
          <t>Tecnologia</t>
        </is>
      </c>
      <c r="J63" t="inlineStr">
        <is>
          <t>Centro</t>
        </is>
      </c>
      <c r="K63" t="inlineStr">
        <is>
          <t>SUC-07</t>
        </is>
      </c>
      <c r="L63" t="inlineStr">
        <is>
          <t>Distribuidor</t>
        </is>
      </c>
      <c r="M63" t="inlineStr">
        <is>
          <t>Cancelado</t>
        </is>
      </c>
      <c r="N63" t="inlineStr">
        <is>
          <t>Media</t>
        </is>
      </c>
      <c r="O63" t="n">
        <v>46</v>
      </c>
      <c r="P63" s="14" t="n">
        <v>8994</v>
      </c>
      <c r="Q63" s="15" t="n">
        <v>0.1</v>
      </c>
      <c r="R63" s="14" t="n">
        <v>5486.34</v>
      </c>
      <c r="S63" s="12" t="n">
        <v>46226</v>
      </c>
      <c r="T63" s="12" t="n">
        <v>46222</v>
      </c>
      <c r="U63" t="inlineStr">
        <is>
          <t>Resp 3</t>
        </is>
      </c>
      <c r="V63" t="inlineStr">
        <is>
          <t>archivo_03.csv</t>
        </is>
      </c>
      <c r="W63" s="14" t="n">
        <v>413724</v>
      </c>
      <c r="X63" s="14" t="n">
        <v>41372.4</v>
      </c>
      <c r="Y63" s="14" t="n">
        <v>372351.6</v>
      </c>
      <c r="Z63" s="14" t="n">
        <v>252371.64</v>
      </c>
      <c r="AA63" s="14" t="n">
        <v>119979.96</v>
      </c>
      <c r="AB63" s="15" t="n">
        <v>0.3222222222222221</v>
      </c>
      <c r="AC63" t="n">
        <v>5</v>
      </c>
      <c r="AD63" t="inlineStr">
        <is>
          <t>CENTRO|OP-000062|20260714|P-200</t>
        </is>
      </c>
      <c r="AE63" t="n">
        <v>1</v>
      </c>
    </row>
    <row r="64">
      <c r="A64" t="n">
        <v>63</v>
      </c>
      <c r="B64" t="inlineStr">
        <is>
          <t>OP-000063</t>
        </is>
      </c>
      <c r="C64" s="12" t="n">
        <v>46224</v>
      </c>
      <c r="D64" s="13" t="n">
        <v>0.4270833333333333</v>
      </c>
      <c r="E64" t="inlineStr">
        <is>
          <t>C-0029</t>
        </is>
      </c>
      <c r="F64" t="inlineStr">
        <is>
          <t>Cliente 29</t>
        </is>
      </c>
      <c r="G64" t="inlineStr">
        <is>
          <t>P-300</t>
        </is>
      </c>
      <c r="H64" t="inlineStr">
        <is>
          <t>Mouse</t>
        </is>
      </c>
      <c r="I64" t="inlineStr">
        <is>
          <t>Tecnologia</t>
        </is>
      </c>
      <c r="J64" t="inlineStr">
        <is>
          <t>Sur</t>
        </is>
      </c>
      <c r="K64" t="inlineStr">
        <is>
          <t>SUC-08</t>
        </is>
      </c>
      <c r="L64" t="inlineStr">
        <is>
          <t>Digital</t>
        </is>
      </c>
      <c r="M64" t="inlineStr">
        <is>
          <t>En revision</t>
        </is>
      </c>
      <c r="N64" t="inlineStr">
        <is>
          <t>Baja</t>
        </is>
      </c>
      <c r="O64" t="n">
        <v>2</v>
      </c>
      <c r="P64" s="14" t="n">
        <v>9131</v>
      </c>
      <c r="Q64" s="15" t="n">
        <v>0.15</v>
      </c>
      <c r="R64" s="14" t="n">
        <v>5661.22</v>
      </c>
      <c r="S64" s="12" t="n">
        <v>46234</v>
      </c>
      <c r="T64" s="12" t="n">
        <v>46230</v>
      </c>
      <c r="U64" t="inlineStr">
        <is>
          <t>Resp 4</t>
        </is>
      </c>
      <c r="V64" t="inlineStr">
        <is>
          <t>archivo_04.csv</t>
        </is>
      </c>
      <c r="W64" s="14" t="n">
        <v>18262</v>
      </c>
      <c r="X64" s="14" t="n">
        <v>2739.3</v>
      </c>
      <c r="Y64" s="14" t="n">
        <v>15522.7</v>
      </c>
      <c r="Z64" s="14" t="n">
        <v>11322.44</v>
      </c>
      <c r="AA64" s="14" t="n">
        <v>4200.26</v>
      </c>
      <c r="AB64" s="15" t="n">
        <v>0.2705882352941176</v>
      </c>
      <c r="AC64" t="n">
        <v>6</v>
      </c>
      <c r="AD64" t="inlineStr">
        <is>
          <t>SUR|OP-000063|20260721|P-300</t>
        </is>
      </c>
      <c r="AE64" t="n">
        <v>1</v>
      </c>
    </row>
    <row r="65">
      <c r="A65" t="n">
        <v>64</v>
      </c>
      <c r="B65" t="inlineStr">
        <is>
          <t>OP-000064</t>
        </is>
      </c>
      <c r="C65" s="12" t="n">
        <v>46231</v>
      </c>
      <c r="D65" s="13" t="n">
        <v>0.4722222222222222</v>
      </c>
      <c r="E65" t="inlineStr">
        <is>
          <t>C-0030</t>
        </is>
      </c>
      <c r="F65" t="inlineStr">
        <is>
          <t>Cliente 30</t>
        </is>
      </c>
      <c r="G65" t="inlineStr">
        <is>
          <t>P-400</t>
        </is>
      </c>
      <c r="H65" t="inlineStr">
        <is>
          <t>Laptop</t>
        </is>
      </c>
      <c r="I65" t="inlineStr">
        <is>
          <t>Tecnologia</t>
        </is>
      </c>
      <c r="J65" t="inlineStr">
        <is>
          <t>Pacifico</t>
        </is>
      </c>
      <c r="K65" t="inlineStr">
        <is>
          <t>SUC-01</t>
        </is>
      </c>
      <c r="L65" t="inlineStr">
        <is>
          <t>Tienda</t>
        </is>
      </c>
      <c r="M65" t="inlineStr">
        <is>
          <t>Aprobado</t>
        </is>
      </c>
      <c r="N65" t="inlineStr">
        <is>
          <t>Critica</t>
        </is>
      </c>
      <c r="O65" t="n">
        <v>5</v>
      </c>
      <c r="P65" s="14" t="n">
        <v>9268</v>
      </c>
      <c r="Q65" s="15" t="n">
        <v>0</v>
      </c>
      <c r="R65" s="14" t="n">
        <v>5097.4</v>
      </c>
      <c r="S65" s="12" t="n">
        <v>46242</v>
      </c>
      <c r="T65" s="12" t="n">
        <v>46238</v>
      </c>
      <c r="U65" t="inlineStr">
        <is>
          <t>Resp 5</t>
        </is>
      </c>
      <c r="V65" t="inlineStr">
        <is>
          <t>archivo_05.csv</t>
        </is>
      </c>
      <c r="W65" s="14" t="n">
        <v>46340</v>
      </c>
      <c r="X65" s="14" t="n">
        <v>0</v>
      </c>
      <c r="Y65" s="14" t="n">
        <v>46340</v>
      </c>
      <c r="Z65" s="14" t="n">
        <v>25487</v>
      </c>
      <c r="AA65" s="14" t="n">
        <v>20853</v>
      </c>
      <c r="AB65" s="15" t="n">
        <v>0.45</v>
      </c>
      <c r="AC65" t="n">
        <v>7</v>
      </c>
      <c r="AD65" t="inlineStr">
        <is>
          <t>PACIFICO|OP-000064|20260728|P-400</t>
        </is>
      </c>
      <c r="AE65" t="n">
        <v>1</v>
      </c>
    </row>
    <row r="66">
      <c r="A66" t="n">
        <v>65</v>
      </c>
      <c r="B66" t="inlineStr">
        <is>
          <t>OP-000065</t>
        </is>
      </c>
      <c r="C66" s="12" t="n">
        <v>46238</v>
      </c>
      <c r="D66" s="13" t="n">
        <v>0.5173611111111112</v>
      </c>
      <c r="E66" t="inlineStr">
        <is>
          <t>C-0031</t>
        </is>
      </c>
      <c r="F66" t="inlineStr">
        <is>
          <t>Cliente 31</t>
        </is>
      </c>
      <c r="G66" t="inlineStr">
        <is>
          <t>P-500</t>
        </is>
      </c>
      <c r="H66" t="inlineStr">
        <is>
          <t>Dock</t>
        </is>
      </c>
      <c r="I66" t="inlineStr">
        <is>
          <t>Tecnologia</t>
        </is>
      </c>
      <c r="J66" t="inlineStr">
        <is>
          <t>Norte</t>
        </is>
      </c>
      <c r="K66" t="inlineStr">
        <is>
          <t>SUC-02</t>
        </is>
      </c>
      <c r="L66" t="inlineStr">
        <is>
          <t>Distribuidor</t>
        </is>
      </c>
      <c r="M66" t="inlineStr">
        <is>
          <t>Pendiente</t>
        </is>
      </c>
      <c r="N66" t="inlineStr">
        <is>
          <t>Alta</t>
        </is>
      </c>
      <c r="O66" t="n">
        <v>8</v>
      </c>
      <c r="P66" s="14" t="n">
        <v>9405</v>
      </c>
      <c r="Q66" s="15" t="n">
        <v>0.05</v>
      </c>
      <c r="R66" s="14" t="n">
        <v>5266.8</v>
      </c>
      <c r="S66" s="12" t="n">
        <v>46250</v>
      </c>
      <c r="T66" s="12" t="n">
        <v>46246</v>
      </c>
      <c r="U66" t="inlineStr">
        <is>
          <t>Resp 6</t>
        </is>
      </c>
      <c r="V66" t="inlineStr">
        <is>
          <t>archivo_06.csv</t>
        </is>
      </c>
      <c r="W66" s="14" t="n">
        <v>75240</v>
      </c>
      <c r="X66" s="14" t="n">
        <v>3762</v>
      </c>
      <c r="Y66" s="14" t="n">
        <v>71478</v>
      </c>
      <c r="Z66" s="14" t="n">
        <v>42134.4</v>
      </c>
      <c r="AA66" s="14" t="n">
        <v>29343.6</v>
      </c>
      <c r="AB66" s="15" t="n">
        <v>0.4105263157894737</v>
      </c>
      <c r="AC66" t="n">
        <v>8</v>
      </c>
      <c r="AD66" t="inlineStr">
        <is>
          <t>NORTE|OP-000065|20260804|P-500</t>
        </is>
      </c>
      <c r="AE66" t="n">
        <v>1</v>
      </c>
    </row>
    <row r="67">
      <c r="A67" t="n">
        <v>66</v>
      </c>
      <c r="B67" t="inlineStr">
        <is>
          <t>OP-000066</t>
        </is>
      </c>
      <c r="C67" s="12" t="n">
        <v>46245</v>
      </c>
      <c r="D67" s="13" t="n">
        <v>0.5625</v>
      </c>
      <c r="E67" t="inlineStr">
        <is>
          <t>C-0032</t>
        </is>
      </c>
      <c r="F67" t="inlineStr">
        <is>
          <t>Cliente 32</t>
        </is>
      </c>
      <c r="G67" t="inlineStr">
        <is>
          <t>P-100</t>
        </is>
      </c>
      <c r="H67" t="inlineStr">
        <is>
          <t>Monitor 24</t>
        </is>
      </c>
      <c r="I67" t="inlineStr">
        <is>
          <t>Tecnologia</t>
        </is>
      </c>
      <c r="J67" t="inlineStr">
        <is>
          <t>Centro</t>
        </is>
      </c>
      <c r="K67" t="inlineStr">
        <is>
          <t>SUC-03</t>
        </is>
      </c>
      <c r="L67" t="inlineStr">
        <is>
          <t>Digital</t>
        </is>
      </c>
      <c r="M67" t="inlineStr">
        <is>
          <t>Cancelado</t>
        </is>
      </c>
      <c r="N67" t="inlineStr">
        <is>
          <t>Media</t>
        </is>
      </c>
      <c r="O67" t="n">
        <v>11</v>
      </c>
      <c r="P67" s="14" t="n">
        <v>9542</v>
      </c>
      <c r="Q67" s="15" t="n">
        <v>0.1</v>
      </c>
      <c r="R67" s="14" t="n">
        <v>5438.94</v>
      </c>
      <c r="S67" s="12" t="n">
        <v>46258</v>
      </c>
      <c r="T67" s="12" t="n">
        <v>46254</v>
      </c>
      <c r="U67" t="inlineStr">
        <is>
          <t>Resp 7</t>
        </is>
      </c>
      <c r="V67" t="inlineStr">
        <is>
          <t>archivo_01.csv</t>
        </is>
      </c>
      <c r="W67" s="14" t="n">
        <v>104962</v>
      </c>
      <c r="X67" s="14" t="n">
        <v>10496.2</v>
      </c>
      <c r="Y67" s="14" t="n">
        <v>94465.8</v>
      </c>
      <c r="Z67" s="14" t="n">
        <v>59828.34</v>
      </c>
      <c r="AA67" s="14" t="n">
        <v>34637.46000000001</v>
      </c>
      <c r="AB67" s="15" t="n">
        <v>0.3666666666666667</v>
      </c>
      <c r="AC67" t="n">
        <v>9</v>
      </c>
      <c r="AD67" t="inlineStr">
        <is>
          <t>CENTRO|OP-000066|20260811|P-100</t>
        </is>
      </c>
      <c r="AE67" t="n">
        <v>1</v>
      </c>
    </row>
    <row r="68">
      <c r="A68" t="n">
        <v>67</v>
      </c>
      <c r="B68" t="inlineStr">
        <is>
          <t>OP-000067</t>
        </is>
      </c>
      <c r="C68" s="12" t="n">
        <v>46252</v>
      </c>
      <c r="D68" s="13" t="n">
        <v>0.6076388888888888</v>
      </c>
      <c r="E68" t="inlineStr">
        <is>
          <t>C-0033</t>
        </is>
      </c>
      <c r="F68" t="inlineStr">
        <is>
          <t>Cliente 33</t>
        </is>
      </c>
      <c r="G68" t="inlineStr">
        <is>
          <t>P-200</t>
        </is>
      </c>
      <c r="H68" t="inlineStr">
        <is>
          <t>Teclado</t>
        </is>
      </c>
      <c r="I68" t="inlineStr">
        <is>
          <t>Tecnologia</t>
        </is>
      </c>
      <c r="J68" t="inlineStr">
        <is>
          <t>Sur</t>
        </is>
      </c>
      <c r="K68" t="inlineStr">
        <is>
          <t>SUC-04</t>
        </is>
      </c>
      <c r="L68" t="inlineStr">
        <is>
          <t>Tienda</t>
        </is>
      </c>
      <c r="M68" t="inlineStr">
        <is>
          <t>En revision</t>
        </is>
      </c>
      <c r="N68" t="inlineStr">
        <is>
          <t>Baja</t>
        </is>
      </c>
      <c r="O68" t="n">
        <v>14</v>
      </c>
      <c r="P68" s="14" t="n">
        <v>9679</v>
      </c>
      <c r="Q68" s="15" t="n">
        <v>0.15</v>
      </c>
      <c r="R68" s="14" t="n">
        <v>5613.82</v>
      </c>
      <c r="S68" s="12" t="n">
        <v>46266</v>
      </c>
      <c r="T68" s="12" t="n">
        <v>46262</v>
      </c>
      <c r="U68" t="inlineStr">
        <is>
          <t>Resp 8</t>
        </is>
      </c>
      <c r="V68" t="inlineStr">
        <is>
          <t>archivo_02.csv</t>
        </is>
      </c>
      <c r="W68" s="14" t="n">
        <v>135506</v>
      </c>
      <c r="X68" s="14" t="n">
        <v>20325.9</v>
      </c>
      <c r="Y68" s="14" t="n">
        <v>115180.1</v>
      </c>
      <c r="Z68" s="14" t="n">
        <v>78593.48</v>
      </c>
      <c r="AA68" s="14" t="n">
        <v>36586.62000000001</v>
      </c>
      <c r="AB68" s="15" t="n">
        <v>0.3176470588235295</v>
      </c>
      <c r="AC68" t="n">
        <v>10</v>
      </c>
      <c r="AD68" t="inlineStr">
        <is>
          <t>SUR|OP-000067|20260818|P-200</t>
        </is>
      </c>
      <c r="AE68" t="n">
        <v>1</v>
      </c>
    </row>
    <row r="69">
      <c r="A69" t="n">
        <v>68</v>
      </c>
      <c r="B69" t="inlineStr">
        <is>
          <t>OP-000068</t>
        </is>
      </c>
      <c r="C69" s="12" t="n">
        <v>46259</v>
      </c>
      <c r="D69" s="13" t="n">
        <v>0.6527777777777778</v>
      </c>
      <c r="E69" t="inlineStr">
        <is>
          <t>C-0034</t>
        </is>
      </c>
      <c r="F69" t="inlineStr">
        <is>
          <t>Cliente 34</t>
        </is>
      </c>
      <c r="G69" t="inlineStr">
        <is>
          <t>P-300</t>
        </is>
      </c>
      <c r="H69" t="inlineStr">
        <is>
          <t>Mouse</t>
        </is>
      </c>
      <c r="I69" t="inlineStr">
        <is>
          <t>Tecnologia</t>
        </is>
      </c>
      <c r="J69" t="inlineStr">
        <is>
          <t>Pacifico</t>
        </is>
      </c>
      <c r="K69" t="inlineStr">
        <is>
          <t>SUC-05</t>
        </is>
      </c>
      <c r="L69" t="inlineStr">
        <is>
          <t>Distribuidor</t>
        </is>
      </c>
      <c r="M69" t="inlineStr">
        <is>
          <t>Aprobado</t>
        </is>
      </c>
      <c r="N69" t="inlineStr">
        <is>
          <t>Critica</t>
        </is>
      </c>
      <c r="O69" t="n">
        <v>17</v>
      </c>
      <c r="P69" s="14" t="n">
        <v>9816</v>
      </c>
      <c r="Q69" s="15" t="n">
        <v>0</v>
      </c>
      <c r="R69" s="14" t="n">
        <v>5791.44</v>
      </c>
      <c r="S69" s="12" t="n">
        <v>46274</v>
      </c>
      <c r="T69" s="12" t="n">
        <v>46270</v>
      </c>
      <c r="U69" t="inlineStr">
        <is>
          <t>Resp 9</t>
        </is>
      </c>
      <c r="V69" t="inlineStr">
        <is>
          <t>archivo_03.csv</t>
        </is>
      </c>
      <c r="W69" s="14" t="n">
        <v>166872</v>
      </c>
      <c r="X69" s="14" t="n">
        <v>0</v>
      </c>
      <c r="Y69" s="14" t="n">
        <v>166872</v>
      </c>
      <c r="Z69" s="14" t="n">
        <v>98454.48</v>
      </c>
      <c r="AA69" s="14" t="n">
        <v>68417.52</v>
      </c>
      <c r="AB69" s="15" t="n">
        <v>0.41</v>
      </c>
      <c r="AC69" t="n">
        <v>11</v>
      </c>
      <c r="AD69" t="inlineStr">
        <is>
          <t>PACIFICO|OP-000068|20260825|P-300</t>
        </is>
      </c>
      <c r="AE69" t="n">
        <v>1</v>
      </c>
    </row>
    <row r="70">
      <c r="A70" t="n">
        <v>69</v>
      </c>
      <c r="B70" t="inlineStr">
        <is>
          <t>OP-000069</t>
        </is>
      </c>
      <c r="C70" s="12" t="n">
        <v>46026</v>
      </c>
      <c r="D70" s="13" t="n">
        <v>0.6979166666666666</v>
      </c>
      <c r="E70" t="inlineStr">
        <is>
          <t>C-0035</t>
        </is>
      </c>
      <c r="F70" t="inlineStr">
        <is>
          <t>Cliente 35</t>
        </is>
      </c>
      <c r="G70" t="inlineStr">
        <is>
          <t>P-400</t>
        </is>
      </c>
      <c r="H70" t="inlineStr">
        <is>
          <t>Laptop</t>
        </is>
      </c>
      <c r="I70" t="inlineStr">
        <is>
          <t>Tecnologia</t>
        </is>
      </c>
      <c r="J70" t="inlineStr">
        <is>
          <t>Norte</t>
        </is>
      </c>
      <c r="K70" t="inlineStr">
        <is>
          <t>SUC-06</t>
        </is>
      </c>
      <c r="L70" t="inlineStr">
        <is>
          <t>Digital</t>
        </is>
      </c>
      <c r="M70" t="inlineStr">
        <is>
          <t>Pendiente</t>
        </is>
      </c>
      <c r="N70" t="inlineStr">
        <is>
          <t>Alta</t>
        </is>
      </c>
      <c r="O70" t="n">
        <v>20</v>
      </c>
      <c r="P70" s="14" t="n">
        <v>9953</v>
      </c>
      <c r="Q70" s="15" t="n">
        <v>0.05</v>
      </c>
      <c r="R70" s="14" t="n">
        <v>5971.8</v>
      </c>
      <c r="S70" s="12" t="n">
        <v>46042</v>
      </c>
      <c r="T70" s="12" t="n">
        <v>46038</v>
      </c>
      <c r="U70" t="inlineStr">
        <is>
          <t>Resp 10</t>
        </is>
      </c>
      <c r="V70" t="inlineStr">
        <is>
          <t>archivo_04.csv</t>
        </is>
      </c>
      <c r="W70" s="14" t="n">
        <v>199060</v>
      </c>
      <c r="X70" s="14" t="n">
        <v>9953</v>
      </c>
      <c r="Y70" s="14" t="n">
        <v>189107</v>
      </c>
      <c r="Z70" s="14" t="n">
        <v>119436</v>
      </c>
      <c r="AA70" s="14" t="n">
        <v>69671</v>
      </c>
      <c r="AB70" s="15" t="n">
        <v>0.3684210526315789</v>
      </c>
      <c r="AC70" t="n">
        <v>12</v>
      </c>
      <c r="AD70" t="inlineStr">
        <is>
          <t>NORTE|OP-000069|20260104|P-400</t>
        </is>
      </c>
      <c r="AE70" t="n">
        <v>1</v>
      </c>
    </row>
    <row r="71">
      <c r="A71" t="n">
        <v>70</v>
      </c>
      <c r="B71" t="inlineStr">
        <is>
          <t>OP-000070</t>
        </is>
      </c>
      <c r="C71" s="12" t="n">
        <v>46033</v>
      </c>
      <c r="D71" s="13" t="n">
        <v>0.7430555555555556</v>
      </c>
      <c r="E71" t="inlineStr">
        <is>
          <t>C-0001</t>
        </is>
      </c>
      <c r="F71" t="inlineStr">
        <is>
          <t>Cliente 1</t>
        </is>
      </c>
      <c r="G71" t="inlineStr">
        <is>
          <t>P-500</t>
        </is>
      </c>
      <c r="H71" t="inlineStr">
        <is>
          <t>Dock</t>
        </is>
      </c>
      <c r="I71" t="inlineStr">
        <is>
          <t>Tecnologia</t>
        </is>
      </c>
      <c r="J71" t="inlineStr">
        <is>
          <t>Centro</t>
        </is>
      </c>
      <c r="K71" t="inlineStr">
        <is>
          <t>SUC-07</t>
        </is>
      </c>
      <c r="L71" t="inlineStr">
        <is>
          <t>Tienda</t>
        </is>
      </c>
      <c r="M71" t="inlineStr">
        <is>
          <t>Cancelado</t>
        </is>
      </c>
      <c r="N71" t="inlineStr">
        <is>
          <t>Media</t>
        </is>
      </c>
      <c r="O71" t="n">
        <v>23</v>
      </c>
      <c r="P71" s="14" t="n">
        <v>10090</v>
      </c>
      <c r="Q71" s="15" t="n">
        <v>0.1</v>
      </c>
      <c r="R71" s="14" t="n">
        <v>6154.9</v>
      </c>
      <c r="S71" s="12" t="n">
        <v>46040</v>
      </c>
      <c r="T71" s="12" t="n">
        <v>46046</v>
      </c>
      <c r="U71" t="inlineStr">
        <is>
          <t>Resp 11</t>
        </is>
      </c>
      <c r="V71" t="inlineStr">
        <is>
          <t>archivo_05.csv</t>
        </is>
      </c>
      <c r="W71" s="14" t="n">
        <v>232070</v>
      </c>
      <c r="X71" s="14" t="n">
        <v>23207</v>
      </c>
      <c r="Y71" s="14" t="n">
        <v>208863</v>
      </c>
      <c r="Z71" s="14" t="n">
        <v>141562.7</v>
      </c>
      <c r="AA71" s="14" t="n">
        <v>67300.30000000002</v>
      </c>
      <c r="AB71" s="15" t="n">
        <v>0.3222222222222223</v>
      </c>
      <c r="AC71" t="n">
        <v>13</v>
      </c>
      <c r="AD71" t="inlineStr">
        <is>
          <t>CENTRO|OP-000070|20260111|P-500</t>
        </is>
      </c>
      <c r="AE71" t="n">
        <v>1</v>
      </c>
    </row>
    <row r="72">
      <c r="A72" t="n">
        <v>71</v>
      </c>
      <c r="B72" t="inlineStr">
        <is>
          <t>OP-000071</t>
        </is>
      </c>
      <c r="C72" s="12" t="n">
        <v>46040</v>
      </c>
      <c r="D72" s="13" t="n">
        <v>0.7881944444444444</v>
      </c>
      <c r="E72" t="inlineStr">
        <is>
          <t>C-0002</t>
        </is>
      </c>
      <c r="F72" t="inlineStr">
        <is>
          <t>Cliente 2</t>
        </is>
      </c>
      <c r="G72" t="inlineStr">
        <is>
          <t>P-100</t>
        </is>
      </c>
      <c r="H72" t="inlineStr">
        <is>
          <t>Monitor 24</t>
        </is>
      </c>
      <c r="I72" t="inlineStr">
        <is>
          <t>Tecnologia</t>
        </is>
      </c>
      <c r="J72" t="inlineStr">
        <is>
          <t>Sur</t>
        </is>
      </c>
      <c r="K72" t="inlineStr">
        <is>
          <t>SUC-08</t>
        </is>
      </c>
      <c r="L72" t="inlineStr">
        <is>
          <t>Distribuidor</t>
        </is>
      </c>
      <c r="M72" t="inlineStr">
        <is>
          <t>En revision</t>
        </is>
      </c>
      <c r="N72" t="inlineStr">
        <is>
          <t>Baja</t>
        </is>
      </c>
      <c r="O72" t="n">
        <v>26</v>
      </c>
      <c r="P72" s="14" t="n">
        <v>10227</v>
      </c>
      <c r="Q72" s="15" t="n">
        <v>0.15</v>
      </c>
      <c r="R72" s="14" t="n">
        <v>6340.74</v>
      </c>
      <c r="S72" s="12" t="n">
        <v>46048</v>
      </c>
      <c r="T72" s="12" t="n">
        <v>46054</v>
      </c>
      <c r="U72" t="inlineStr">
        <is>
          <t>Resp 12</t>
        </is>
      </c>
      <c r="V72" t="inlineStr">
        <is>
          <t>archivo_06.csv</t>
        </is>
      </c>
      <c r="W72" s="14" t="n">
        <v>265902</v>
      </c>
      <c r="X72" s="14" t="n">
        <v>39885.3</v>
      </c>
      <c r="Y72" s="14" t="n">
        <v>226016.7</v>
      </c>
      <c r="Z72" s="14" t="n">
        <v>164859.24</v>
      </c>
      <c r="AA72" s="14" t="n">
        <v>61157.46000000002</v>
      </c>
      <c r="AB72" s="15" t="n">
        <v>0.2705882352941177</v>
      </c>
      <c r="AC72" t="n">
        <v>14</v>
      </c>
      <c r="AD72" t="inlineStr">
        <is>
          <t>SUR|OP-000071|20260118|P-100</t>
        </is>
      </c>
      <c r="AE72" t="n">
        <v>1</v>
      </c>
    </row>
    <row r="73">
      <c r="A73" t="n">
        <v>72</v>
      </c>
      <c r="B73" t="inlineStr">
        <is>
          <t>OP-000072</t>
        </is>
      </c>
      <c r="C73" s="12" t="n">
        <v>46047</v>
      </c>
      <c r="D73" s="13" t="n">
        <v>0.2916666666666667</v>
      </c>
      <c r="E73" t="inlineStr">
        <is>
          <t>C-0003</t>
        </is>
      </c>
      <c r="F73" t="inlineStr">
        <is>
          <t>Cliente 3</t>
        </is>
      </c>
      <c r="G73" t="inlineStr">
        <is>
          <t>P-200</t>
        </is>
      </c>
      <c r="H73" t="inlineStr">
        <is>
          <t>Teclado</t>
        </is>
      </c>
      <c r="I73" t="inlineStr">
        <is>
          <t>Tecnologia</t>
        </is>
      </c>
      <c r="J73" t="inlineStr">
        <is>
          <t>Pacifico</t>
        </is>
      </c>
      <c r="K73" t="inlineStr">
        <is>
          <t>SUC-01</t>
        </is>
      </c>
      <c r="L73" t="inlineStr">
        <is>
          <t>Digital</t>
        </is>
      </c>
      <c r="M73" t="inlineStr">
        <is>
          <t>Aprobado</t>
        </is>
      </c>
      <c r="N73" t="inlineStr">
        <is>
          <t>Critica</t>
        </is>
      </c>
      <c r="O73" t="n">
        <v>29</v>
      </c>
      <c r="P73" s="14" t="n">
        <v>10364</v>
      </c>
      <c r="Q73" s="15" t="n">
        <v>0</v>
      </c>
      <c r="R73" s="14" t="n">
        <v>5700.2</v>
      </c>
      <c r="S73" s="12" t="n">
        <v>46056</v>
      </c>
      <c r="T73" s="12" t="n">
        <v>46062</v>
      </c>
      <c r="U73" t="inlineStr">
        <is>
          <t>Resp 1</t>
        </is>
      </c>
      <c r="V73" t="inlineStr">
        <is>
          <t>archivo_01.csv</t>
        </is>
      </c>
      <c r="W73" s="14" t="n">
        <v>300556</v>
      </c>
      <c r="X73" s="14" t="n">
        <v>0</v>
      </c>
      <c r="Y73" s="14" t="n">
        <v>300556</v>
      </c>
      <c r="Z73" s="14" t="n">
        <v>165305.8</v>
      </c>
      <c r="AA73" s="14" t="n">
        <v>135250.2</v>
      </c>
      <c r="AB73" s="15" t="n">
        <v>0.45</v>
      </c>
      <c r="AC73" t="n">
        <v>15</v>
      </c>
      <c r="AD73" t="inlineStr">
        <is>
          <t>PACIFICO|OP-000072|20260125|P-200</t>
        </is>
      </c>
      <c r="AE73" t="n">
        <v>1</v>
      </c>
    </row>
    <row r="74">
      <c r="A74" t="n">
        <v>73</v>
      </c>
      <c r="B74" t="inlineStr">
        <is>
          <t>OP-000073</t>
        </is>
      </c>
      <c r="C74" s="12" t="n">
        <v>46054</v>
      </c>
      <c r="D74" s="13" t="n">
        <v>0.3368055555555556</v>
      </c>
      <c r="E74" t="inlineStr">
        <is>
          <t>C-0004</t>
        </is>
      </c>
      <c r="F74" t="inlineStr">
        <is>
          <t>Cliente 4</t>
        </is>
      </c>
      <c r="G74" t="inlineStr">
        <is>
          <t>P-300</t>
        </is>
      </c>
      <c r="H74" t="inlineStr">
        <is>
          <t>Mouse</t>
        </is>
      </c>
      <c r="I74" t="inlineStr">
        <is>
          <t>Tecnologia</t>
        </is>
      </c>
      <c r="J74" t="inlineStr">
        <is>
          <t>Norte</t>
        </is>
      </c>
      <c r="K74" t="inlineStr">
        <is>
          <t>SUC-02</t>
        </is>
      </c>
      <c r="L74" t="inlineStr">
        <is>
          <t>Tienda</t>
        </is>
      </c>
      <c r="M74" t="inlineStr">
        <is>
          <t>Pendiente</t>
        </is>
      </c>
      <c r="N74" t="inlineStr">
        <is>
          <t>Alta</t>
        </is>
      </c>
      <c r="O74" t="n">
        <v>32</v>
      </c>
      <c r="P74" s="14" t="n">
        <v>10501</v>
      </c>
      <c r="Q74" s="15" t="n">
        <v>0.05</v>
      </c>
      <c r="R74" s="14" t="n">
        <v>5880.56</v>
      </c>
      <c r="S74" s="12" t="n">
        <v>46064</v>
      </c>
      <c r="T74" s="12" t="n">
        <v>46070</v>
      </c>
      <c r="U74" t="inlineStr">
        <is>
          <t>Resp 2</t>
        </is>
      </c>
      <c r="V74" t="inlineStr">
        <is>
          <t>archivo_02.csv</t>
        </is>
      </c>
      <c r="W74" s="14" t="n">
        <v>336032</v>
      </c>
      <c r="X74" s="14" t="n">
        <v>16801.6</v>
      </c>
      <c r="Y74" s="14" t="n">
        <v>319230.4</v>
      </c>
      <c r="Z74" s="14" t="n">
        <v>188177.92</v>
      </c>
      <c r="AA74" s="14" t="n">
        <v>131052.48</v>
      </c>
      <c r="AB74" s="15" t="n">
        <v>0.4105263157894737</v>
      </c>
      <c r="AC74" t="n">
        <v>16</v>
      </c>
      <c r="AD74" t="inlineStr">
        <is>
          <t>NORTE|OP-000073|20260201|P-300</t>
        </is>
      </c>
      <c r="AE74" t="n">
        <v>1</v>
      </c>
    </row>
    <row r="75">
      <c r="A75" t="n">
        <v>74</v>
      </c>
      <c r="B75" t="inlineStr">
        <is>
          <t>OP-000074</t>
        </is>
      </c>
      <c r="C75" s="12" t="n">
        <v>46061</v>
      </c>
      <c r="D75" s="13" t="n">
        <v>0.3819444444444444</v>
      </c>
      <c r="E75" t="inlineStr">
        <is>
          <t>C-0005</t>
        </is>
      </c>
      <c r="F75" t="inlineStr">
        <is>
          <t>Cliente 5</t>
        </is>
      </c>
      <c r="G75" t="inlineStr">
        <is>
          <t>P-400</t>
        </is>
      </c>
      <c r="H75" t="inlineStr">
        <is>
          <t>Laptop</t>
        </is>
      </c>
      <c r="I75" t="inlineStr">
        <is>
          <t>Tecnologia</t>
        </is>
      </c>
      <c r="J75" t="inlineStr">
        <is>
          <t>Centro</t>
        </is>
      </c>
      <c r="K75" t="inlineStr">
        <is>
          <t>SUC-03</t>
        </is>
      </c>
      <c r="L75" t="inlineStr">
        <is>
          <t>Distribuidor</t>
        </is>
      </c>
      <c r="M75" t="inlineStr">
        <is>
          <t>Cancelado</t>
        </is>
      </c>
      <c r="N75" t="inlineStr">
        <is>
          <t>Media</t>
        </is>
      </c>
      <c r="O75" t="n">
        <v>35</v>
      </c>
      <c r="P75" s="14" t="n">
        <v>10638</v>
      </c>
      <c r="Q75" s="15" t="n">
        <v>0.1</v>
      </c>
      <c r="R75" s="14" t="n">
        <v>6063.66</v>
      </c>
      <c r="S75" s="12" t="n">
        <v>46072</v>
      </c>
      <c r="T75" s="12" t="n">
        <v>46078</v>
      </c>
      <c r="U75" t="inlineStr">
        <is>
          <t>Resp 3</t>
        </is>
      </c>
      <c r="V75" t="inlineStr">
        <is>
          <t>archivo_03.csv</t>
        </is>
      </c>
      <c r="W75" s="14" t="n">
        <v>372330</v>
      </c>
      <c r="X75" s="14" t="n">
        <v>37233</v>
      </c>
      <c r="Y75" s="14" t="n">
        <v>335097</v>
      </c>
      <c r="Z75" s="14" t="n">
        <v>212228.1</v>
      </c>
      <c r="AA75" s="14" t="n">
        <v>122868.9</v>
      </c>
      <c r="AB75" s="15" t="n">
        <v>0.3666666666666666</v>
      </c>
      <c r="AC75" t="n">
        <v>17</v>
      </c>
      <c r="AD75" t="inlineStr">
        <is>
          <t>CENTRO|OP-000074|20260208|P-400</t>
        </is>
      </c>
      <c r="AE75" t="n">
        <v>1</v>
      </c>
    </row>
    <row r="76">
      <c r="A76" t="n">
        <v>75</v>
      </c>
      <c r="B76" t="inlineStr">
        <is>
          <t>OP-000075</t>
        </is>
      </c>
      <c r="C76" s="12" t="n">
        <v>46068</v>
      </c>
      <c r="D76" s="13" t="n">
        <v>0.4270833333333333</v>
      </c>
      <c r="E76" t="inlineStr">
        <is>
          <t>C-0006</t>
        </is>
      </c>
      <c r="F76" t="inlineStr">
        <is>
          <t>Cliente 6</t>
        </is>
      </c>
      <c r="G76" t="inlineStr">
        <is>
          <t>P-500</t>
        </is>
      </c>
      <c r="H76" t="inlineStr">
        <is>
          <t>Dock</t>
        </is>
      </c>
      <c r="I76" t="inlineStr">
        <is>
          <t>Tecnologia</t>
        </is>
      </c>
      <c r="J76" t="inlineStr">
        <is>
          <t>Sur</t>
        </is>
      </c>
      <c r="K76" t="inlineStr">
        <is>
          <t>SUC-04</t>
        </is>
      </c>
      <c r="L76" t="inlineStr">
        <is>
          <t>Digital</t>
        </is>
      </c>
      <c r="M76" t="inlineStr">
        <is>
          <t>En revision</t>
        </is>
      </c>
      <c r="N76" t="inlineStr">
        <is>
          <t>Baja</t>
        </is>
      </c>
      <c r="O76" t="n">
        <v>38</v>
      </c>
      <c r="P76" s="14" t="n">
        <v>10775</v>
      </c>
      <c r="Q76" s="15" t="n">
        <v>0.15</v>
      </c>
      <c r="R76" s="14" t="n">
        <v>6249.5</v>
      </c>
      <c r="S76" s="12" t="n">
        <v>46080</v>
      </c>
      <c r="T76" s="12" t="n">
        <v>46071</v>
      </c>
      <c r="U76" t="inlineStr">
        <is>
          <t>Resp 4</t>
        </is>
      </c>
      <c r="V76" t="inlineStr">
        <is>
          <t>archivo_04.csv</t>
        </is>
      </c>
      <c r="W76" s="14" t="n">
        <v>409450</v>
      </c>
      <c r="X76" s="14" t="n">
        <v>61417.5</v>
      </c>
      <c r="Y76" s="14" t="n">
        <v>348032.5</v>
      </c>
      <c r="Z76" s="14" t="n">
        <v>237481</v>
      </c>
      <c r="AA76" s="14" t="n">
        <v>110551.5</v>
      </c>
      <c r="AB76" s="15" t="n">
        <v>0.3176470588235294</v>
      </c>
      <c r="AC76" t="n">
        <v>3</v>
      </c>
      <c r="AD76" t="inlineStr">
        <is>
          <t>SUR|OP-000075|20260215|P-500</t>
        </is>
      </c>
      <c r="AE76" t="n">
        <v>1</v>
      </c>
    </row>
    <row r="77">
      <c r="A77" t="n">
        <v>76</v>
      </c>
      <c r="B77" t="inlineStr">
        <is>
          <t>OP-000076</t>
        </is>
      </c>
      <c r="C77" s="12" t="n">
        <v>46075</v>
      </c>
      <c r="D77" s="13" t="n">
        <v>0.4722222222222222</v>
      </c>
      <c r="E77" t="inlineStr">
        <is>
          <t>C-0007</t>
        </is>
      </c>
      <c r="F77" t="inlineStr">
        <is>
          <t>Cliente 7</t>
        </is>
      </c>
      <c r="G77" t="inlineStr">
        <is>
          <t>P-100</t>
        </is>
      </c>
      <c r="H77" t="inlineStr">
        <is>
          <t>Monitor 24</t>
        </is>
      </c>
      <c r="I77" t="inlineStr">
        <is>
          <t>Tecnologia</t>
        </is>
      </c>
      <c r="J77" t="inlineStr">
        <is>
          <t>Pacifico</t>
        </is>
      </c>
      <c r="K77" t="inlineStr">
        <is>
          <t>SUC-05</t>
        </is>
      </c>
      <c r="L77" t="inlineStr">
        <is>
          <t>Tienda</t>
        </is>
      </c>
      <c r="M77" t="inlineStr">
        <is>
          <t>Aprobado</t>
        </is>
      </c>
      <c r="N77" t="inlineStr">
        <is>
          <t>Critica</t>
        </is>
      </c>
      <c r="O77" t="n">
        <v>41</v>
      </c>
      <c r="P77" s="14" t="n">
        <v>10912</v>
      </c>
      <c r="Q77" s="15" t="n">
        <v>0</v>
      </c>
      <c r="R77" s="14" t="n">
        <v>6438.08</v>
      </c>
      <c r="S77" s="12" t="n">
        <v>46088</v>
      </c>
      <c r="T77" s="12" t="n">
        <v>46079</v>
      </c>
      <c r="U77" t="inlineStr">
        <is>
          <t>Resp 5</t>
        </is>
      </c>
      <c r="V77" t="inlineStr">
        <is>
          <t>archivo_05.csv</t>
        </is>
      </c>
      <c r="W77" s="14" t="n">
        <v>447392</v>
      </c>
      <c r="X77" s="14" t="n">
        <v>0</v>
      </c>
      <c r="Y77" s="14" t="n">
        <v>447392</v>
      </c>
      <c r="Z77" s="14" t="n">
        <v>263961.28</v>
      </c>
      <c r="AA77" s="14" t="n">
        <v>183430.72</v>
      </c>
      <c r="AB77" s="15" t="n">
        <v>0.4100000000000001</v>
      </c>
      <c r="AC77" t="n">
        <v>4</v>
      </c>
      <c r="AD77" t="inlineStr">
        <is>
          <t>PACIFICO|OP-000076|20260222|P-100</t>
        </is>
      </c>
      <c r="AE77" t="n">
        <v>1</v>
      </c>
    </row>
    <row r="78">
      <c r="A78" t="n">
        <v>77</v>
      </c>
      <c r="B78" t="inlineStr">
        <is>
          <t>OP-000077</t>
        </is>
      </c>
      <c r="C78" s="12" t="n">
        <v>46082</v>
      </c>
      <c r="D78" s="13" t="n">
        <v>0.5173611111111112</v>
      </c>
      <c r="E78" t="inlineStr">
        <is>
          <t>C-0008</t>
        </is>
      </c>
      <c r="F78" t="inlineStr">
        <is>
          <t>Cliente 8</t>
        </is>
      </c>
      <c r="G78" t="inlineStr">
        <is>
          <t>P-200</t>
        </is>
      </c>
      <c r="H78" t="inlineStr">
        <is>
          <t>Teclado</t>
        </is>
      </c>
      <c r="I78" t="inlineStr">
        <is>
          <t>Tecnologia</t>
        </is>
      </c>
      <c r="J78" t="inlineStr">
        <is>
          <t>Norte</t>
        </is>
      </c>
      <c r="K78" t="inlineStr">
        <is>
          <t>SUC-06</t>
        </is>
      </c>
      <c r="L78" t="inlineStr">
        <is>
          <t>Distribuidor</t>
        </is>
      </c>
      <c r="M78" t="inlineStr">
        <is>
          <t>Pendiente</t>
        </is>
      </c>
      <c r="N78" t="inlineStr">
        <is>
          <t>Alta</t>
        </is>
      </c>
      <c r="O78" t="n">
        <v>44</v>
      </c>
      <c r="P78" s="14" t="n">
        <v>11049</v>
      </c>
      <c r="Q78" s="15" t="n">
        <v>0.05</v>
      </c>
      <c r="R78" s="14" t="n">
        <v>6629.4</v>
      </c>
      <c r="S78" s="12" t="n">
        <v>46096</v>
      </c>
      <c r="T78" s="12" t="n">
        <v>46087</v>
      </c>
      <c r="U78" t="inlineStr">
        <is>
          <t>Resp 6</t>
        </is>
      </c>
      <c r="V78" t="inlineStr">
        <is>
          <t>archivo_06.csv</t>
        </is>
      </c>
      <c r="W78" s="14" t="n">
        <v>486156</v>
      </c>
      <c r="X78" s="14" t="n">
        <v>24307.8</v>
      </c>
      <c r="Y78" s="14" t="n">
        <v>461848.2</v>
      </c>
      <c r="Z78" s="14" t="n">
        <v>291693.6</v>
      </c>
      <c r="AA78" s="14" t="n">
        <v>170154.6</v>
      </c>
      <c r="AB78" s="15" t="n">
        <v>0.368421052631579</v>
      </c>
      <c r="AC78" t="n">
        <v>5</v>
      </c>
      <c r="AD78" t="inlineStr">
        <is>
          <t>NORTE|OP-000077|20260301|P-200</t>
        </is>
      </c>
      <c r="AE78" t="n">
        <v>1</v>
      </c>
    </row>
    <row r="79">
      <c r="A79" t="n">
        <v>78</v>
      </c>
      <c r="B79" t="inlineStr">
        <is>
          <t>OP-000078</t>
        </is>
      </c>
      <c r="C79" s="12" t="n">
        <v>46089</v>
      </c>
      <c r="D79" s="13" t="n">
        <v>0.5625</v>
      </c>
      <c r="E79" t="inlineStr">
        <is>
          <t>C-0009</t>
        </is>
      </c>
      <c r="F79" t="inlineStr">
        <is>
          <t>Cliente 9</t>
        </is>
      </c>
      <c r="G79" t="inlineStr">
        <is>
          <t>P-300</t>
        </is>
      </c>
      <c r="H79" t="inlineStr">
        <is>
          <t>Mouse</t>
        </is>
      </c>
      <c r="I79" t="inlineStr">
        <is>
          <t>Tecnologia</t>
        </is>
      </c>
      <c r="J79" t="inlineStr">
        <is>
          <t>Centro</t>
        </is>
      </c>
      <c r="K79" t="inlineStr">
        <is>
          <t>SUC-07</t>
        </is>
      </c>
      <c r="L79" t="inlineStr">
        <is>
          <t>Digital</t>
        </is>
      </c>
      <c r="M79" t="inlineStr">
        <is>
          <t>Cancelado</t>
        </is>
      </c>
      <c r="N79" t="inlineStr">
        <is>
          <t>Media</t>
        </is>
      </c>
      <c r="O79" t="n">
        <v>47</v>
      </c>
      <c r="P79" s="14" t="n">
        <v>11186</v>
      </c>
      <c r="Q79" s="15" t="n">
        <v>0.1</v>
      </c>
      <c r="R79" s="14" t="n">
        <v>6823.46</v>
      </c>
      <c r="S79" s="12" t="n">
        <v>46104</v>
      </c>
      <c r="T79" s="12" t="n">
        <v>46095</v>
      </c>
      <c r="U79" t="inlineStr">
        <is>
          <t>Resp 7</t>
        </is>
      </c>
      <c r="V79" t="inlineStr">
        <is>
          <t>archivo_01.csv</t>
        </is>
      </c>
      <c r="W79" s="14" t="n">
        <v>525742</v>
      </c>
      <c r="X79" s="14" t="n">
        <v>52574.2</v>
      </c>
      <c r="Y79" s="14" t="n">
        <v>473167.8</v>
      </c>
      <c r="Z79" s="14" t="n">
        <v>320702.62</v>
      </c>
      <c r="AA79" s="14" t="n">
        <v>152465.18</v>
      </c>
      <c r="AB79" s="15" t="n">
        <v>0.3222222222222222</v>
      </c>
      <c r="AC79" t="n">
        <v>6</v>
      </c>
      <c r="AD79" t="inlineStr">
        <is>
          <t>CENTRO|OP-000078|20260308|P-300</t>
        </is>
      </c>
      <c r="AE79" t="n">
        <v>1</v>
      </c>
    </row>
    <row r="80">
      <c r="A80" t="n">
        <v>79</v>
      </c>
      <c r="B80" t="inlineStr">
        <is>
          <t>OP-000079</t>
        </is>
      </c>
      <c r="C80" s="12" t="n">
        <v>46096</v>
      </c>
      <c r="D80" s="13" t="n">
        <v>0.6076388888888888</v>
      </c>
      <c r="E80" t="inlineStr">
        <is>
          <t>C-0010</t>
        </is>
      </c>
      <c r="F80" t="inlineStr">
        <is>
          <t>Cliente 10</t>
        </is>
      </c>
      <c r="G80" t="inlineStr">
        <is>
          <t>P-400</t>
        </is>
      </c>
      <c r="H80" t="inlineStr">
        <is>
          <t>Laptop</t>
        </is>
      </c>
      <c r="I80" t="inlineStr">
        <is>
          <t>Tecnologia</t>
        </is>
      </c>
      <c r="J80" t="inlineStr">
        <is>
          <t>Sur</t>
        </is>
      </c>
      <c r="K80" t="inlineStr">
        <is>
          <t>SUC-08</t>
        </is>
      </c>
      <c r="L80" t="inlineStr">
        <is>
          <t>Tienda</t>
        </is>
      </c>
      <c r="M80" t="inlineStr">
        <is>
          <t>En revision</t>
        </is>
      </c>
      <c r="N80" t="inlineStr">
        <is>
          <t>Baja</t>
        </is>
      </c>
      <c r="O80" t="n">
        <v>3</v>
      </c>
      <c r="P80" s="14" t="n">
        <v>11323</v>
      </c>
      <c r="Q80" s="15" t="n">
        <v>0.15</v>
      </c>
      <c r="R80" s="14" t="n">
        <v>7020.26</v>
      </c>
      <c r="S80" s="12" t="n">
        <v>46112</v>
      </c>
      <c r="T80" s="12" t="n">
        <v>46103</v>
      </c>
      <c r="U80" t="inlineStr">
        <is>
          <t>Resp 8</t>
        </is>
      </c>
      <c r="V80" t="inlineStr">
        <is>
          <t>archivo_02.csv</t>
        </is>
      </c>
      <c r="W80" s="14" t="n">
        <v>33969</v>
      </c>
      <c r="X80" s="14" t="n">
        <v>5095.349999999999</v>
      </c>
      <c r="Y80" s="14" t="n">
        <v>28873.65</v>
      </c>
      <c r="Z80" s="14" t="n">
        <v>21060.78</v>
      </c>
      <c r="AA80" s="14" t="n">
        <v>7812.870000000003</v>
      </c>
      <c r="AB80" s="15" t="n">
        <v>0.2705882352941177</v>
      </c>
      <c r="AC80" t="n">
        <v>7</v>
      </c>
      <c r="AD80" t="inlineStr">
        <is>
          <t>SUR|OP-000079|20260315|P-400</t>
        </is>
      </c>
      <c r="AE80" t="n">
        <v>1</v>
      </c>
    </row>
    <row r="81">
      <c r="A81" t="n">
        <v>80</v>
      </c>
      <c r="B81" t="inlineStr">
        <is>
          <t>OP-000080</t>
        </is>
      </c>
      <c r="C81" s="12" t="n">
        <v>46103</v>
      </c>
      <c r="D81" s="13" t="n">
        <v>0.6527777777777778</v>
      </c>
      <c r="E81" t="inlineStr">
        <is>
          <t>C-0011</t>
        </is>
      </c>
      <c r="F81" t="inlineStr">
        <is>
          <t>Cliente 11</t>
        </is>
      </c>
      <c r="G81" t="inlineStr">
        <is>
          <t>P-500</t>
        </is>
      </c>
      <c r="H81" t="inlineStr">
        <is>
          <t>Dock</t>
        </is>
      </c>
      <c r="I81" t="inlineStr">
        <is>
          <t>Tecnologia</t>
        </is>
      </c>
      <c r="J81" t="inlineStr">
        <is>
          <t>Pacifico</t>
        </is>
      </c>
      <c r="K81" t="inlineStr">
        <is>
          <t>SUC-01</t>
        </is>
      </c>
      <c r="L81" t="inlineStr">
        <is>
          <t>Distribuidor</t>
        </is>
      </c>
      <c r="M81" t="inlineStr">
        <is>
          <t>Aprobado</t>
        </is>
      </c>
      <c r="N81" t="inlineStr">
        <is>
          <t>Critica</t>
        </is>
      </c>
      <c r="O81" t="n">
        <v>6</v>
      </c>
      <c r="P81" s="14" t="n">
        <v>11460</v>
      </c>
      <c r="Q81" s="15" t="n">
        <v>0</v>
      </c>
      <c r="R81" s="14" t="n">
        <v>6303</v>
      </c>
      <c r="S81" s="12" t="n">
        <v>46110</v>
      </c>
      <c r="T81" s="12" t="n">
        <v>46111</v>
      </c>
      <c r="U81" t="inlineStr">
        <is>
          <t>Resp 9</t>
        </is>
      </c>
      <c r="V81" t="inlineStr">
        <is>
          <t>archivo_03.csv</t>
        </is>
      </c>
      <c r="W81" s="14" t="n">
        <v>68760</v>
      </c>
      <c r="X81" s="14" t="n">
        <v>0</v>
      </c>
      <c r="Y81" s="14" t="n">
        <v>68760</v>
      </c>
      <c r="Z81" s="14" t="n">
        <v>37818</v>
      </c>
      <c r="AA81" s="14" t="n">
        <v>30942</v>
      </c>
      <c r="AB81" s="15" t="n">
        <v>0.45</v>
      </c>
      <c r="AC81" t="n">
        <v>8</v>
      </c>
      <c r="AD81" t="inlineStr">
        <is>
          <t>PACIFICO|OP-000080|20260322|P-500</t>
        </is>
      </c>
      <c r="AE81" t="n">
        <v>1</v>
      </c>
    </row>
    <row r="82">
      <c r="A82" t="n">
        <v>81</v>
      </c>
      <c r="B82" t="inlineStr">
        <is>
          <t>OP-000081</t>
        </is>
      </c>
      <c r="C82" s="12" t="n">
        <v>46110</v>
      </c>
      <c r="D82" s="13" t="n">
        <v>0.6979166666666666</v>
      </c>
      <c r="E82" t="inlineStr">
        <is>
          <t>C-0012</t>
        </is>
      </c>
      <c r="F82" t="inlineStr">
        <is>
          <t>Cliente 12</t>
        </is>
      </c>
      <c r="G82" t="inlineStr">
        <is>
          <t>P-100</t>
        </is>
      </c>
      <c r="H82" t="inlineStr">
        <is>
          <t>Monitor 24</t>
        </is>
      </c>
      <c r="I82" t="inlineStr">
        <is>
          <t>Tecnologia</t>
        </is>
      </c>
      <c r="J82" t="inlineStr">
        <is>
          <t>Norte</t>
        </is>
      </c>
      <c r="K82" t="inlineStr">
        <is>
          <t>SUC-02</t>
        </is>
      </c>
      <c r="L82" t="inlineStr">
        <is>
          <t>Digital</t>
        </is>
      </c>
      <c r="M82" t="inlineStr">
        <is>
          <t>Pendiente</t>
        </is>
      </c>
      <c r="N82" t="inlineStr">
        <is>
          <t>Alta</t>
        </is>
      </c>
      <c r="O82" t="n">
        <v>9</v>
      </c>
      <c r="P82" s="14" t="n">
        <v>11597</v>
      </c>
      <c r="Q82" s="15" t="n">
        <v>0.05</v>
      </c>
      <c r="R82" s="14" t="n">
        <v>6494.32</v>
      </c>
      <c r="S82" s="12" t="n">
        <v>46118</v>
      </c>
      <c r="T82" s="12" t="n">
        <v>46119</v>
      </c>
      <c r="U82" t="inlineStr">
        <is>
          <t>Resp 10</t>
        </is>
      </c>
      <c r="V82" t="inlineStr">
        <is>
          <t>archivo_04.csv</t>
        </is>
      </c>
      <c r="W82" s="14" t="n">
        <v>104373</v>
      </c>
      <c r="X82" s="14" t="n">
        <v>5218.650000000001</v>
      </c>
      <c r="Y82" s="14" t="n">
        <v>99154.35000000001</v>
      </c>
      <c r="Z82" s="14" t="n">
        <v>58448.88</v>
      </c>
      <c r="AA82" s="14" t="n">
        <v>40705.47000000001</v>
      </c>
      <c r="AB82" s="15" t="n">
        <v>0.4105263157894737</v>
      </c>
      <c r="AC82" t="n">
        <v>9</v>
      </c>
      <c r="AD82" t="inlineStr">
        <is>
          <t>NORTE|OP-000081|20260329|P-100</t>
        </is>
      </c>
      <c r="AE82" t="n">
        <v>1</v>
      </c>
    </row>
    <row r="83">
      <c r="A83" t="n">
        <v>82</v>
      </c>
      <c r="B83" t="inlineStr">
        <is>
          <t>OP-000082</t>
        </is>
      </c>
      <c r="C83" s="12" t="n">
        <v>46117</v>
      </c>
      <c r="D83" s="13" t="n">
        <v>0.7430555555555556</v>
      </c>
      <c r="E83" t="inlineStr">
        <is>
          <t>C-0013</t>
        </is>
      </c>
      <c r="F83" t="inlineStr">
        <is>
          <t>Cliente 13</t>
        </is>
      </c>
      <c r="G83" t="inlineStr">
        <is>
          <t>P-200</t>
        </is>
      </c>
      <c r="H83" t="inlineStr">
        <is>
          <t>Teclado</t>
        </is>
      </c>
      <c r="I83" t="inlineStr">
        <is>
          <t>Tecnologia</t>
        </is>
      </c>
      <c r="J83" t="inlineStr">
        <is>
          <t>Centro</t>
        </is>
      </c>
      <c r="K83" t="inlineStr">
        <is>
          <t>SUC-03</t>
        </is>
      </c>
      <c r="L83" t="inlineStr">
        <is>
          <t>Tienda</t>
        </is>
      </c>
      <c r="M83" t="inlineStr">
        <is>
          <t>Cancelado</t>
        </is>
      </c>
      <c r="N83" t="inlineStr">
        <is>
          <t>Media</t>
        </is>
      </c>
      <c r="O83" t="n">
        <v>12</v>
      </c>
      <c r="P83" s="14" t="n">
        <v>11734</v>
      </c>
      <c r="Q83" s="15" t="n">
        <v>0.1</v>
      </c>
      <c r="R83" s="14" t="n">
        <v>6688.38</v>
      </c>
      <c r="S83" s="12" t="n">
        <v>46126</v>
      </c>
      <c r="T83" s="12" t="n">
        <v>46127</v>
      </c>
      <c r="U83" t="inlineStr">
        <is>
          <t>Resp 11</t>
        </is>
      </c>
      <c r="V83" t="inlineStr">
        <is>
          <t>archivo_05.csv</t>
        </is>
      </c>
      <c r="W83" s="14" t="n">
        <v>140808</v>
      </c>
      <c r="X83" s="14" t="n">
        <v>14080.8</v>
      </c>
      <c r="Y83" s="14" t="n">
        <v>126727.2</v>
      </c>
      <c r="Z83" s="14" t="n">
        <v>80260.56</v>
      </c>
      <c r="AA83" s="14" t="n">
        <v>46466.64</v>
      </c>
      <c r="AB83" s="15" t="n">
        <v>0.3666666666666667</v>
      </c>
      <c r="AC83" t="n">
        <v>10</v>
      </c>
      <c r="AD83" t="inlineStr">
        <is>
          <t>CENTRO|OP-000082|20260405|P-200</t>
        </is>
      </c>
      <c r="AE83" t="n">
        <v>1</v>
      </c>
    </row>
    <row r="84">
      <c r="A84" t="n">
        <v>83</v>
      </c>
      <c r="B84" t="inlineStr">
        <is>
          <t>OP-000083</t>
        </is>
      </c>
      <c r="C84" s="12" t="n">
        <v>46124</v>
      </c>
      <c r="D84" s="13" t="n">
        <v>0.7881944444444444</v>
      </c>
      <c r="E84" t="inlineStr">
        <is>
          <t>C-0014</t>
        </is>
      </c>
      <c r="F84" t="inlineStr">
        <is>
          <t>Cliente 14</t>
        </is>
      </c>
      <c r="G84" t="inlineStr">
        <is>
          <t>P-300</t>
        </is>
      </c>
      <c r="H84" t="inlineStr">
        <is>
          <t>Mouse</t>
        </is>
      </c>
      <c r="I84" t="inlineStr">
        <is>
          <t>Tecnologia</t>
        </is>
      </c>
      <c r="J84" t="inlineStr">
        <is>
          <t>Sur</t>
        </is>
      </c>
      <c r="K84" t="inlineStr">
        <is>
          <t>SUC-04</t>
        </is>
      </c>
      <c r="L84" t="inlineStr">
        <is>
          <t>Distribuidor</t>
        </is>
      </c>
      <c r="M84" t="inlineStr">
        <is>
          <t>En revision</t>
        </is>
      </c>
      <c r="N84" t="inlineStr">
        <is>
          <t>Baja</t>
        </is>
      </c>
      <c r="O84" t="n">
        <v>15</v>
      </c>
      <c r="P84" s="14" t="n">
        <v>11871</v>
      </c>
      <c r="Q84" s="15" t="n">
        <v>0.15</v>
      </c>
      <c r="R84" s="14" t="n">
        <v>6885.18</v>
      </c>
      <c r="S84" s="12" t="n">
        <v>46134</v>
      </c>
      <c r="T84" s="12" t="n">
        <v>46135</v>
      </c>
      <c r="U84" t="inlineStr">
        <is>
          <t>Resp 12</t>
        </is>
      </c>
      <c r="V84" t="inlineStr">
        <is>
          <t>archivo_06.csv</t>
        </is>
      </c>
      <c r="W84" s="14" t="n">
        <v>178065</v>
      </c>
      <c r="X84" s="14" t="n">
        <v>26709.75</v>
      </c>
      <c r="Y84" s="14" t="n">
        <v>151355.25</v>
      </c>
      <c r="Z84" s="14" t="n">
        <v>103277.7</v>
      </c>
      <c r="AA84" s="14" t="n">
        <v>48077.54999999999</v>
      </c>
      <c r="AB84" s="15" t="n">
        <v>0.3176470588235293</v>
      </c>
      <c r="AC84" t="n">
        <v>11</v>
      </c>
      <c r="AD84" t="inlineStr">
        <is>
          <t>SUR|OP-000083|20260412|P-300</t>
        </is>
      </c>
      <c r="AE84" t="n">
        <v>1</v>
      </c>
    </row>
    <row r="85">
      <c r="A85" t="n">
        <v>84</v>
      </c>
      <c r="B85" t="inlineStr">
        <is>
          <t>OP-000084</t>
        </is>
      </c>
      <c r="C85" s="12" t="n">
        <v>46131</v>
      </c>
      <c r="D85" s="13" t="n">
        <v>0.2916666666666667</v>
      </c>
      <c r="E85" t="inlineStr">
        <is>
          <t>C-0015</t>
        </is>
      </c>
      <c r="F85" t="inlineStr">
        <is>
          <t>Cliente 15</t>
        </is>
      </c>
      <c r="G85" t="inlineStr">
        <is>
          <t>P-400</t>
        </is>
      </c>
      <c r="H85" t="inlineStr">
        <is>
          <t>Laptop</t>
        </is>
      </c>
      <c r="I85" t="inlineStr">
        <is>
          <t>Tecnologia</t>
        </is>
      </c>
      <c r="J85" t="inlineStr">
        <is>
          <t>Pacifico</t>
        </is>
      </c>
      <c r="K85" t="inlineStr">
        <is>
          <t>SUC-05</t>
        </is>
      </c>
      <c r="L85" t="inlineStr">
        <is>
          <t>Digital</t>
        </is>
      </c>
      <c r="M85" t="inlineStr">
        <is>
          <t>Aprobado</t>
        </is>
      </c>
      <c r="N85" t="inlineStr">
        <is>
          <t>Critica</t>
        </is>
      </c>
      <c r="O85" t="n">
        <v>18</v>
      </c>
      <c r="P85" s="14" t="n">
        <v>12008</v>
      </c>
      <c r="Q85" s="15" t="n">
        <v>0</v>
      </c>
      <c r="R85" s="14" t="n">
        <v>7084.72</v>
      </c>
      <c r="S85" s="12" t="n">
        <v>46142</v>
      </c>
      <c r="T85" s="12" t="n">
        <v>46143</v>
      </c>
      <c r="U85" t="inlineStr">
        <is>
          <t>Resp 1</t>
        </is>
      </c>
      <c r="V85" t="inlineStr">
        <is>
          <t>archivo_01.csv</t>
        </is>
      </c>
      <c r="W85" s="14" t="n">
        <v>216144</v>
      </c>
      <c r="X85" s="14" t="n">
        <v>0</v>
      </c>
      <c r="Y85" s="14" t="n">
        <v>216144</v>
      </c>
      <c r="Z85" s="14" t="n">
        <v>127524.96</v>
      </c>
      <c r="AA85" s="14" t="n">
        <v>88619.03999999999</v>
      </c>
      <c r="AB85" s="15" t="n">
        <v>0.41</v>
      </c>
      <c r="AC85" t="n">
        <v>12</v>
      </c>
      <c r="AD85" t="inlineStr">
        <is>
          <t>PACIFICO|OP-000084|20260419|P-400</t>
        </is>
      </c>
      <c r="AE85" t="n">
        <v>1</v>
      </c>
    </row>
    <row r="86">
      <c r="A86" t="n">
        <v>85</v>
      </c>
      <c r="B86" t="inlineStr">
        <is>
          <t>OP-000085</t>
        </is>
      </c>
      <c r="C86" s="12" t="n">
        <v>46138</v>
      </c>
      <c r="D86" s="13" t="n">
        <v>0.3368055555555556</v>
      </c>
      <c r="E86" t="inlineStr">
        <is>
          <t>C-0016</t>
        </is>
      </c>
      <c r="F86" t="inlineStr">
        <is>
          <t>Cliente 16</t>
        </is>
      </c>
      <c r="G86" t="inlineStr">
        <is>
          <t>P-500</t>
        </is>
      </c>
      <c r="H86" t="inlineStr">
        <is>
          <t>Dock</t>
        </is>
      </c>
      <c r="I86" t="inlineStr">
        <is>
          <t>Tecnologia</t>
        </is>
      </c>
      <c r="J86" t="inlineStr">
        <is>
          <t>Norte</t>
        </is>
      </c>
      <c r="K86" t="inlineStr">
        <is>
          <t>SUC-06</t>
        </is>
      </c>
      <c r="L86" t="inlineStr">
        <is>
          <t>Tienda</t>
        </is>
      </c>
      <c r="M86" t="inlineStr">
        <is>
          <t>Pendiente</t>
        </is>
      </c>
      <c r="N86" t="inlineStr">
        <is>
          <t>Alta</t>
        </is>
      </c>
      <c r="O86" t="n">
        <v>21</v>
      </c>
      <c r="P86" s="14" t="n">
        <v>12145</v>
      </c>
      <c r="Q86" s="15" t="n">
        <v>0.05</v>
      </c>
      <c r="R86" s="14" t="n">
        <v>7287</v>
      </c>
      <c r="S86" s="12" t="n">
        <v>46150</v>
      </c>
      <c r="T86" s="12" t="n">
        <v>46151</v>
      </c>
      <c r="U86" t="inlineStr">
        <is>
          <t>Resp 2</t>
        </is>
      </c>
      <c r="V86" t="inlineStr">
        <is>
          <t>archivo_02.csv</t>
        </is>
      </c>
      <c r="W86" s="14" t="n">
        <v>255045</v>
      </c>
      <c r="X86" s="14" t="n">
        <v>12752.25</v>
      </c>
      <c r="Y86" s="14" t="n">
        <v>242292.75</v>
      </c>
      <c r="Z86" s="14" t="n">
        <v>153027</v>
      </c>
      <c r="AA86" s="14" t="n">
        <v>89265.75</v>
      </c>
      <c r="AB86" s="15" t="n">
        <v>0.3684210526315789</v>
      </c>
      <c r="AC86" t="n">
        <v>13</v>
      </c>
      <c r="AD86" t="inlineStr">
        <is>
          <t>NORTE|OP-000085|20260426|P-500</t>
        </is>
      </c>
      <c r="AE86" t="n">
        <v>1</v>
      </c>
    </row>
    <row r="87">
      <c r="A87" t="n">
        <v>86</v>
      </c>
      <c r="B87" t="inlineStr">
        <is>
          <t>OP-000086</t>
        </is>
      </c>
      <c r="C87" s="12" t="n">
        <v>46145</v>
      </c>
      <c r="D87" s="13" t="n">
        <v>0.3819444444444444</v>
      </c>
      <c r="E87" t="inlineStr">
        <is>
          <t>C-0017</t>
        </is>
      </c>
      <c r="F87" t="inlineStr">
        <is>
          <t>Cliente 17</t>
        </is>
      </c>
      <c r="G87" t="inlineStr">
        <is>
          <t>P-100</t>
        </is>
      </c>
      <c r="H87" t="inlineStr">
        <is>
          <t>Monitor 24</t>
        </is>
      </c>
      <c r="I87" t="inlineStr">
        <is>
          <t>Tecnologia</t>
        </is>
      </c>
      <c r="J87" t="inlineStr">
        <is>
          <t>Centro</t>
        </is>
      </c>
      <c r="K87" t="inlineStr">
        <is>
          <t>SUC-07</t>
        </is>
      </c>
      <c r="L87" t="inlineStr">
        <is>
          <t>Distribuidor</t>
        </is>
      </c>
      <c r="M87" t="inlineStr">
        <is>
          <t>Cancelado</t>
        </is>
      </c>
      <c r="N87" t="inlineStr">
        <is>
          <t>Media</t>
        </is>
      </c>
      <c r="O87" t="n">
        <v>24</v>
      </c>
      <c r="P87" s="14" t="n">
        <v>12282</v>
      </c>
      <c r="Q87" s="15" t="n">
        <v>0.1</v>
      </c>
      <c r="R87" s="14" t="n">
        <v>7492.02</v>
      </c>
      <c r="S87" s="12" t="n">
        <v>46158</v>
      </c>
      <c r="T87" s="12" t="n">
        <v>46159</v>
      </c>
      <c r="U87" t="inlineStr">
        <is>
          <t>Resp 3</t>
        </is>
      </c>
      <c r="V87" t="inlineStr">
        <is>
          <t>archivo_03.csv</t>
        </is>
      </c>
      <c r="W87" s="14" t="n">
        <v>294768</v>
      </c>
      <c r="X87" s="14" t="n">
        <v>29476.8</v>
      </c>
      <c r="Y87" s="14" t="n">
        <v>265291.2</v>
      </c>
      <c r="Z87" s="14" t="n">
        <v>179808.48</v>
      </c>
      <c r="AA87" s="14" t="n">
        <v>85482.72</v>
      </c>
      <c r="AB87" s="15" t="n">
        <v>0.3222222222222222</v>
      </c>
      <c r="AC87" t="n">
        <v>14</v>
      </c>
      <c r="AD87" t="inlineStr">
        <is>
          <t>CENTRO|OP-000086|20260503|P-100</t>
        </is>
      </c>
      <c r="AE87" t="n">
        <v>1</v>
      </c>
    </row>
    <row r="88">
      <c r="A88" t="n">
        <v>87</v>
      </c>
      <c r="B88" t="inlineStr">
        <is>
          <t>OP-000087</t>
        </is>
      </c>
      <c r="C88" s="12" t="n">
        <v>46152</v>
      </c>
      <c r="D88" s="13" t="n">
        <v>0.4270833333333333</v>
      </c>
      <c r="E88" t="inlineStr">
        <is>
          <t>C-0018</t>
        </is>
      </c>
      <c r="F88" t="inlineStr">
        <is>
          <t>Cliente 18</t>
        </is>
      </c>
      <c r="G88" t="inlineStr">
        <is>
          <t>P-200</t>
        </is>
      </c>
      <c r="H88" t="inlineStr">
        <is>
          <t>Teclado</t>
        </is>
      </c>
      <c r="I88" t="inlineStr">
        <is>
          <t>Tecnologia</t>
        </is>
      </c>
      <c r="J88" t="inlineStr">
        <is>
          <t>Sur</t>
        </is>
      </c>
      <c r="K88" t="inlineStr">
        <is>
          <t>SUC-08</t>
        </is>
      </c>
      <c r="L88" t="inlineStr">
        <is>
          <t>Digital</t>
        </is>
      </c>
      <c r="M88" t="inlineStr">
        <is>
          <t>En revision</t>
        </is>
      </c>
      <c r="N88" t="inlineStr">
        <is>
          <t>Baja</t>
        </is>
      </c>
      <c r="O88" t="n">
        <v>27</v>
      </c>
      <c r="P88" s="14" t="n">
        <v>12419</v>
      </c>
      <c r="Q88" s="15" t="n">
        <v>0.15</v>
      </c>
      <c r="R88" s="14" t="n">
        <v>7699.78</v>
      </c>
      <c r="S88" s="12" t="n">
        <v>46166</v>
      </c>
      <c r="T88" s="12" t="n">
        <v>46167</v>
      </c>
      <c r="U88" t="inlineStr">
        <is>
          <t>Resp 4</t>
        </is>
      </c>
      <c r="V88" t="inlineStr">
        <is>
          <t>archivo_04.csv</t>
        </is>
      </c>
      <c r="W88" s="14" t="n">
        <v>335313</v>
      </c>
      <c r="X88" s="14" t="n">
        <v>50296.95</v>
      </c>
      <c r="Y88" s="14" t="n">
        <v>285016.05</v>
      </c>
      <c r="Z88" s="14" t="n">
        <v>207894.06</v>
      </c>
      <c r="AA88" s="14" t="n">
        <v>77121.98999999999</v>
      </c>
      <c r="AB88" s="15" t="n">
        <v>0.2705882352941176</v>
      </c>
      <c r="AC88" t="n">
        <v>15</v>
      </c>
      <c r="AD88" t="inlineStr">
        <is>
          <t>SUR|OP-000087|20260510|P-200</t>
        </is>
      </c>
      <c r="AE88" t="n">
        <v>1</v>
      </c>
    </row>
    <row r="89">
      <c r="A89" t="n">
        <v>88</v>
      </c>
      <c r="B89" t="inlineStr">
        <is>
          <t>OP-000088</t>
        </is>
      </c>
      <c r="C89" s="12" t="n">
        <v>46159</v>
      </c>
      <c r="D89" s="13" t="n">
        <v>0.4722222222222222</v>
      </c>
      <c r="E89" t="inlineStr">
        <is>
          <t>C-0019</t>
        </is>
      </c>
      <c r="F89" t="inlineStr">
        <is>
          <t>Cliente 19</t>
        </is>
      </c>
      <c r="G89" t="inlineStr">
        <is>
          <t>P-300</t>
        </is>
      </c>
      <c r="H89" t="inlineStr">
        <is>
          <t>Mouse</t>
        </is>
      </c>
      <c r="I89" t="inlineStr">
        <is>
          <t>Tecnologia</t>
        </is>
      </c>
      <c r="J89" t="inlineStr">
        <is>
          <t>Pacifico</t>
        </is>
      </c>
      <c r="K89" t="inlineStr">
        <is>
          <t>SUC-01</t>
        </is>
      </c>
      <c r="L89" t="inlineStr">
        <is>
          <t>Tienda</t>
        </is>
      </c>
      <c r="M89" t="inlineStr">
        <is>
          <t>Aprobado</t>
        </is>
      </c>
      <c r="N89" t="inlineStr">
        <is>
          <t>Critica</t>
        </is>
      </c>
      <c r="O89" t="n">
        <v>30</v>
      </c>
      <c r="P89" s="14" t="n">
        <v>556</v>
      </c>
      <c r="Q89" s="15" t="n">
        <v>0</v>
      </c>
      <c r="R89" s="14" t="n">
        <v>305.8</v>
      </c>
      <c r="S89" s="12" t="n">
        <v>46174</v>
      </c>
      <c r="T89" s="12" t="n">
        <v>46175</v>
      </c>
      <c r="U89" t="inlineStr">
        <is>
          <t>Resp 5</t>
        </is>
      </c>
      <c r="V89" t="inlineStr">
        <is>
          <t>archivo_05.csv</t>
        </is>
      </c>
      <c r="W89" s="14" t="n">
        <v>16680</v>
      </c>
      <c r="X89" s="14" t="n">
        <v>0</v>
      </c>
      <c r="Y89" s="14" t="n">
        <v>16680</v>
      </c>
      <c r="Z89" s="14" t="n">
        <v>9174</v>
      </c>
      <c r="AA89" s="14" t="n">
        <v>7506</v>
      </c>
      <c r="AB89" s="15" t="n">
        <v>0.45</v>
      </c>
      <c r="AC89" t="n">
        <v>16</v>
      </c>
      <c r="AD89" t="inlineStr">
        <is>
          <t>PACIFICO|OP-000088|20260517|P-300</t>
        </is>
      </c>
      <c r="AE89" t="n">
        <v>1</v>
      </c>
    </row>
    <row r="90">
      <c r="A90" t="n">
        <v>89</v>
      </c>
      <c r="B90" t="inlineStr">
        <is>
          <t>OP-000089</t>
        </is>
      </c>
      <c r="C90" s="12" t="n">
        <v>46166</v>
      </c>
      <c r="D90" s="13" t="n">
        <v>0.5173611111111112</v>
      </c>
      <c r="E90" t="inlineStr">
        <is>
          <t>C-0020</t>
        </is>
      </c>
      <c r="F90" t="inlineStr">
        <is>
          <t>Cliente 20</t>
        </is>
      </c>
      <c r="G90" t="inlineStr">
        <is>
          <t>P-400</t>
        </is>
      </c>
      <c r="H90" t="inlineStr">
        <is>
          <t>Laptop</t>
        </is>
      </c>
      <c r="I90" t="inlineStr">
        <is>
          <t>Tecnologia</t>
        </is>
      </c>
      <c r="J90" t="inlineStr">
        <is>
          <t>Norte</t>
        </is>
      </c>
      <c r="K90" t="inlineStr">
        <is>
          <t>SUC-02</t>
        </is>
      </c>
      <c r="L90" t="inlineStr">
        <is>
          <t>Distribuidor</t>
        </is>
      </c>
      <c r="M90" t="inlineStr">
        <is>
          <t>Pendiente</t>
        </is>
      </c>
      <c r="N90" t="inlineStr">
        <is>
          <t>Alta</t>
        </is>
      </c>
      <c r="O90" t="n">
        <v>33</v>
      </c>
      <c r="P90" s="14" t="n">
        <v>693</v>
      </c>
      <c r="Q90" s="15" t="n">
        <v>0.05</v>
      </c>
      <c r="R90" s="14" t="n">
        <v>388.08</v>
      </c>
      <c r="S90" s="12" t="n">
        <v>46182</v>
      </c>
      <c r="T90" s="12" t="n">
        <v>46183</v>
      </c>
      <c r="U90" t="inlineStr">
        <is>
          <t>Resp 6</t>
        </is>
      </c>
      <c r="V90" t="inlineStr">
        <is>
          <t>archivo_06.csv</t>
        </is>
      </c>
      <c r="W90" s="14" t="n">
        <v>22869</v>
      </c>
      <c r="X90" s="14" t="n">
        <v>1143.45</v>
      </c>
      <c r="Y90" s="14" t="n">
        <v>21725.55</v>
      </c>
      <c r="Z90" s="14" t="n">
        <v>12806.64</v>
      </c>
      <c r="AA90" s="14" t="n">
        <v>8918.91</v>
      </c>
      <c r="AB90" s="15" t="n">
        <v>0.4105263157894737</v>
      </c>
      <c r="AC90" t="n">
        <v>17</v>
      </c>
      <c r="AD90" t="inlineStr">
        <is>
          <t>NORTE|OP-000089|20260524|P-400</t>
        </is>
      </c>
      <c r="AE90" t="n">
        <v>1</v>
      </c>
    </row>
    <row r="91">
      <c r="A91" t="n">
        <v>90</v>
      </c>
      <c r="B91" t="inlineStr">
        <is>
          <t>OP-000090</t>
        </is>
      </c>
      <c r="C91" s="12" t="n">
        <v>46173</v>
      </c>
      <c r="D91" s="13" t="n">
        <v>0.5625</v>
      </c>
      <c r="E91" t="inlineStr">
        <is>
          <t>C-0021</t>
        </is>
      </c>
      <c r="F91" t="inlineStr">
        <is>
          <t>Cliente 21</t>
        </is>
      </c>
      <c r="G91" t="inlineStr">
        <is>
          <t>P-500</t>
        </is>
      </c>
      <c r="H91" t="inlineStr">
        <is>
          <t>Dock</t>
        </is>
      </c>
      <c r="I91" t="inlineStr">
        <is>
          <t>Tecnologia</t>
        </is>
      </c>
      <c r="J91" t="inlineStr">
        <is>
          <t>Centro</t>
        </is>
      </c>
      <c r="K91" t="inlineStr">
        <is>
          <t>SUC-03</t>
        </is>
      </c>
      <c r="L91" t="inlineStr">
        <is>
          <t>Digital</t>
        </is>
      </c>
      <c r="M91" t="inlineStr">
        <is>
          <t>Cancelado</t>
        </is>
      </c>
      <c r="N91" t="inlineStr">
        <is>
          <t>Media</t>
        </is>
      </c>
      <c r="O91" t="n">
        <v>36</v>
      </c>
      <c r="P91" s="14" t="n">
        <v>830</v>
      </c>
      <c r="Q91" s="15" t="n">
        <v>0.1</v>
      </c>
      <c r="R91" s="14" t="n">
        <v>473.1</v>
      </c>
      <c r="S91" s="12" t="n">
        <v>46180</v>
      </c>
      <c r="T91" s="12" t="n">
        <v>46176</v>
      </c>
      <c r="U91" t="inlineStr">
        <is>
          <t>Resp 7</t>
        </is>
      </c>
      <c r="V91" t="inlineStr">
        <is>
          <t>archivo_01.csv</t>
        </is>
      </c>
      <c r="W91" s="14" t="n">
        <v>29880</v>
      </c>
      <c r="X91" s="14" t="n">
        <v>2988</v>
      </c>
      <c r="Y91" s="14" t="n">
        <v>26892</v>
      </c>
      <c r="Z91" s="14" t="n">
        <v>17031.6</v>
      </c>
      <c r="AA91" s="14" t="n">
        <v>9860.399999999998</v>
      </c>
      <c r="AB91" s="15" t="n">
        <v>0.3666666666666666</v>
      </c>
      <c r="AC91" t="n">
        <v>3</v>
      </c>
      <c r="AD91" t="inlineStr">
        <is>
          <t>CENTRO|OP-000090|20260531|P-500</t>
        </is>
      </c>
      <c r="AE91" t="n">
        <v>1</v>
      </c>
    </row>
    <row r="92">
      <c r="A92" t="n">
        <v>91</v>
      </c>
      <c r="B92" t="inlineStr">
        <is>
          <t>OP-000091</t>
        </is>
      </c>
      <c r="C92" s="12" t="n">
        <v>46180</v>
      </c>
      <c r="D92" s="13" t="n">
        <v>0.6076388888888888</v>
      </c>
      <c r="E92" t="inlineStr">
        <is>
          <t>C-0022</t>
        </is>
      </c>
      <c r="F92" t="inlineStr">
        <is>
          <t>Cliente 22</t>
        </is>
      </c>
      <c r="G92" t="inlineStr">
        <is>
          <t>P-100</t>
        </is>
      </c>
      <c r="H92" t="inlineStr">
        <is>
          <t>Monitor 24</t>
        </is>
      </c>
      <c r="I92" t="inlineStr">
        <is>
          <t>Tecnologia</t>
        </is>
      </c>
      <c r="J92" t="inlineStr">
        <is>
          <t>Sur</t>
        </is>
      </c>
      <c r="K92" t="inlineStr">
        <is>
          <t>SUC-04</t>
        </is>
      </c>
      <c r="L92" t="inlineStr">
        <is>
          <t>Tienda</t>
        </is>
      </c>
      <c r="M92" t="inlineStr">
        <is>
          <t>En revision</t>
        </is>
      </c>
      <c r="N92" t="inlineStr">
        <is>
          <t>Baja</t>
        </is>
      </c>
      <c r="O92" t="n">
        <v>39</v>
      </c>
      <c r="P92" s="14" t="n">
        <v>967</v>
      </c>
      <c r="Q92" s="15" t="n">
        <v>0.15</v>
      </c>
      <c r="R92" s="14" t="n">
        <v>560.86</v>
      </c>
      <c r="S92" s="12" t="n">
        <v>46188</v>
      </c>
      <c r="T92" s="12" t="n">
        <v>46184</v>
      </c>
      <c r="U92" t="inlineStr">
        <is>
          <t>Resp 8</t>
        </is>
      </c>
      <c r="V92" t="inlineStr">
        <is>
          <t>archivo_02.csv</t>
        </is>
      </c>
      <c r="W92" s="14" t="n">
        <v>37713</v>
      </c>
      <c r="X92" s="14" t="n">
        <v>5656.95</v>
      </c>
      <c r="Y92" s="14" t="n">
        <v>32056.05</v>
      </c>
      <c r="Z92" s="14" t="n">
        <v>21873.54</v>
      </c>
      <c r="AA92" s="14" t="n">
        <v>10182.51</v>
      </c>
      <c r="AB92" s="15" t="n">
        <v>0.3176470588235294</v>
      </c>
      <c r="AC92" t="n">
        <v>4</v>
      </c>
      <c r="AD92" t="inlineStr">
        <is>
          <t>SUR|OP-000091|20260607|P-100</t>
        </is>
      </c>
      <c r="AE92" t="n">
        <v>1</v>
      </c>
    </row>
    <row r="93">
      <c r="A93" t="n">
        <v>92</v>
      </c>
      <c r="B93" t="inlineStr">
        <is>
          <t>OP-000092</t>
        </is>
      </c>
      <c r="C93" s="12" t="n">
        <v>46187</v>
      </c>
      <c r="D93" s="13" t="n">
        <v>0.6527777777777778</v>
      </c>
      <c r="E93" t="inlineStr">
        <is>
          <t>C-0023</t>
        </is>
      </c>
      <c r="F93" t="inlineStr">
        <is>
          <t>Cliente 23</t>
        </is>
      </c>
      <c r="G93" t="inlineStr">
        <is>
          <t>P-200</t>
        </is>
      </c>
      <c r="H93" t="inlineStr">
        <is>
          <t>Teclado</t>
        </is>
      </c>
      <c r="I93" t="inlineStr">
        <is>
          <t>Tecnologia</t>
        </is>
      </c>
      <c r="J93" t="inlineStr">
        <is>
          <t>Pacifico</t>
        </is>
      </c>
      <c r="K93" t="inlineStr">
        <is>
          <t>SUC-05</t>
        </is>
      </c>
      <c r="L93" t="inlineStr">
        <is>
          <t>Distribuidor</t>
        </is>
      </c>
      <c r="M93" t="inlineStr">
        <is>
          <t>Aprobado</t>
        </is>
      </c>
      <c r="N93" t="inlineStr">
        <is>
          <t>Critica</t>
        </is>
      </c>
      <c r="O93" t="n">
        <v>42</v>
      </c>
      <c r="P93" s="14" t="n">
        <v>1104</v>
      </c>
      <c r="Q93" s="15" t="n">
        <v>0</v>
      </c>
      <c r="R93" s="14" t="n">
        <v>651.36</v>
      </c>
      <c r="S93" s="12" t="n">
        <v>46196</v>
      </c>
      <c r="T93" s="12" t="n">
        <v>46192</v>
      </c>
      <c r="U93" t="inlineStr">
        <is>
          <t>Resp 9</t>
        </is>
      </c>
      <c r="V93" t="inlineStr">
        <is>
          <t>archivo_03.csv</t>
        </is>
      </c>
      <c r="W93" s="14" t="n">
        <v>46368</v>
      </c>
      <c r="X93" s="14" t="n">
        <v>0</v>
      </c>
      <c r="Y93" s="14" t="n">
        <v>46368</v>
      </c>
      <c r="Z93" s="14" t="n">
        <v>27357.12</v>
      </c>
      <c r="AA93" s="14" t="n">
        <v>19010.88</v>
      </c>
      <c r="AB93" s="15" t="n">
        <v>0.41</v>
      </c>
      <c r="AC93" t="n">
        <v>5</v>
      </c>
      <c r="AD93" t="inlineStr">
        <is>
          <t>PACIFICO|OP-000092|20260614|P-200</t>
        </is>
      </c>
      <c r="AE93" t="n">
        <v>1</v>
      </c>
    </row>
    <row r="94">
      <c r="A94" t="n">
        <v>93</v>
      </c>
      <c r="B94" t="inlineStr">
        <is>
          <t>OP-000093</t>
        </is>
      </c>
      <c r="C94" s="12" t="n">
        <v>46194</v>
      </c>
      <c r="D94" s="13" t="n">
        <v>0.6979166666666666</v>
      </c>
      <c r="E94" t="inlineStr">
        <is>
          <t>C-0024</t>
        </is>
      </c>
      <c r="F94" t="inlineStr">
        <is>
          <t>Cliente 24</t>
        </is>
      </c>
      <c r="G94" t="inlineStr">
        <is>
          <t>P-300</t>
        </is>
      </c>
      <c r="H94" t="inlineStr">
        <is>
          <t>Mouse</t>
        </is>
      </c>
      <c r="I94" t="inlineStr">
        <is>
          <t>Tecnologia</t>
        </is>
      </c>
      <c r="J94" t="inlineStr">
        <is>
          <t>Norte</t>
        </is>
      </c>
      <c r="K94" t="inlineStr">
        <is>
          <t>SUC-06</t>
        </is>
      </c>
      <c r="L94" t="inlineStr">
        <is>
          <t>Digital</t>
        </is>
      </c>
      <c r="M94" t="inlineStr">
        <is>
          <t>Pendiente</t>
        </is>
      </c>
      <c r="N94" t="inlineStr">
        <is>
          <t>Alta</t>
        </is>
      </c>
      <c r="O94" t="n">
        <v>45</v>
      </c>
      <c r="P94" s="14" t="n">
        <v>1241</v>
      </c>
      <c r="Q94" s="15" t="n">
        <v>0.05</v>
      </c>
      <c r="R94" s="14" t="n">
        <v>744.6</v>
      </c>
      <c r="S94" s="12" t="n">
        <v>46204</v>
      </c>
      <c r="T94" s="12" t="n">
        <v>46200</v>
      </c>
      <c r="U94" t="inlineStr">
        <is>
          <t>Resp 10</t>
        </is>
      </c>
      <c r="V94" t="inlineStr">
        <is>
          <t>archivo_04.csv</t>
        </is>
      </c>
      <c r="W94" s="14" t="n">
        <v>55845</v>
      </c>
      <c r="X94" s="14" t="n">
        <v>2792.25</v>
      </c>
      <c r="Y94" s="14" t="n">
        <v>53052.75</v>
      </c>
      <c r="Z94" s="14" t="n">
        <v>33507</v>
      </c>
      <c r="AA94" s="14" t="n">
        <v>19545.75</v>
      </c>
      <c r="AB94" s="15" t="n">
        <v>0.3684210526315789</v>
      </c>
      <c r="AC94" t="n">
        <v>6</v>
      </c>
      <c r="AD94" t="inlineStr">
        <is>
          <t>NORTE|OP-000093|20260621|P-300</t>
        </is>
      </c>
      <c r="AE94" t="n">
        <v>1</v>
      </c>
    </row>
    <row r="95">
      <c r="A95" t="n">
        <v>94</v>
      </c>
      <c r="B95" t="inlineStr">
        <is>
          <t>OP-000094</t>
        </is>
      </c>
      <c r="C95" s="12" t="n">
        <v>46201</v>
      </c>
      <c r="D95" s="13" t="n">
        <v>0.7430555555555556</v>
      </c>
      <c r="E95" t="inlineStr">
        <is>
          <t>C-0025</t>
        </is>
      </c>
      <c r="F95" t="inlineStr">
        <is>
          <t>Cliente 25</t>
        </is>
      </c>
      <c r="G95" t="inlineStr">
        <is>
          <t>P-400</t>
        </is>
      </c>
      <c r="H95" t="inlineStr">
        <is>
          <t>Laptop</t>
        </is>
      </c>
      <c r="I95" t="inlineStr">
        <is>
          <t>Tecnologia</t>
        </is>
      </c>
      <c r="J95" t="inlineStr">
        <is>
          <t>Centro</t>
        </is>
      </c>
      <c r="K95" t="inlineStr">
        <is>
          <t>SUC-07</t>
        </is>
      </c>
      <c r="L95" t="inlineStr">
        <is>
          <t>Tienda</t>
        </is>
      </c>
      <c r="M95" t="inlineStr">
        <is>
          <t>Cancelado</t>
        </is>
      </c>
      <c r="N95" t="inlineStr">
        <is>
          <t>Media</t>
        </is>
      </c>
      <c r="O95" t="n">
        <v>1</v>
      </c>
      <c r="P95" s="14" t="n">
        <v>1378</v>
      </c>
      <c r="Q95" s="15" t="n">
        <v>0.1</v>
      </c>
      <c r="R95" s="14" t="n">
        <v>840.58</v>
      </c>
      <c r="S95" s="12" t="n">
        <v>46212</v>
      </c>
      <c r="T95" s="12" t="n">
        <v>46208</v>
      </c>
      <c r="U95" t="inlineStr">
        <is>
          <t>Resp 11</t>
        </is>
      </c>
      <c r="V95" t="inlineStr">
        <is>
          <t>archivo_05.csv</t>
        </is>
      </c>
      <c r="W95" s="14" t="n">
        <v>1378</v>
      </c>
      <c r="X95" s="14" t="n">
        <v>137.8</v>
      </c>
      <c r="Y95" s="14" t="n">
        <v>1240.2</v>
      </c>
      <c r="Z95" s="14" t="n">
        <v>840.58</v>
      </c>
      <c r="AA95" s="14" t="n">
        <v>399.62</v>
      </c>
      <c r="AB95" s="15" t="n">
        <v>0.3222222222222222</v>
      </c>
      <c r="AC95" t="n">
        <v>7</v>
      </c>
      <c r="AD95" t="inlineStr">
        <is>
          <t>CENTRO|OP-000094|20260628|P-400</t>
        </is>
      </c>
      <c r="AE95" t="n">
        <v>1</v>
      </c>
    </row>
    <row r="96">
      <c r="A96" t="n">
        <v>95</v>
      </c>
      <c r="B96" t="inlineStr">
        <is>
          <t>OP-000095</t>
        </is>
      </c>
      <c r="C96" s="12" t="n">
        <v>46208</v>
      </c>
      <c r="D96" s="13" t="n">
        <v>0.7881944444444444</v>
      </c>
      <c r="E96" t="inlineStr">
        <is>
          <t>C-0026</t>
        </is>
      </c>
      <c r="F96" t="inlineStr">
        <is>
          <t>Cliente 26</t>
        </is>
      </c>
      <c r="G96" t="inlineStr">
        <is>
          <t>P-500</t>
        </is>
      </c>
      <c r="H96" t="inlineStr">
        <is>
          <t>Dock</t>
        </is>
      </c>
      <c r="I96" t="inlineStr">
        <is>
          <t>Tecnologia</t>
        </is>
      </c>
      <c r="J96" t="inlineStr">
        <is>
          <t>Sur</t>
        </is>
      </c>
      <c r="K96" t="inlineStr">
        <is>
          <t>SUC-08</t>
        </is>
      </c>
      <c r="L96" t="inlineStr">
        <is>
          <t>Distribuidor</t>
        </is>
      </c>
      <c r="M96" t="inlineStr">
        <is>
          <t>En revision</t>
        </is>
      </c>
      <c r="N96" t="inlineStr">
        <is>
          <t>Baja</t>
        </is>
      </c>
      <c r="O96" t="n">
        <v>4</v>
      </c>
      <c r="P96" s="14" t="n">
        <v>1515</v>
      </c>
      <c r="Q96" s="15" t="n">
        <v>0.15</v>
      </c>
      <c r="R96" s="14" t="n">
        <v>939.3</v>
      </c>
      <c r="S96" s="12" t="n">
        <v>46220</v>
      </c>
      <c r="T96" s="12" t="n">
        <v>46216</v>
      </c>
      <c r="U96" t="inlineStr">
        <is>
          <t>Resp 12</t>
        </is>
      </c>
      <c r="V96" t="inlineStr">
        <is>
          <t>archivo_06.csv</t>
        </is>
      </c>
      <c r="W96" s="14" t="n">
        <v>6060</v>
      </c>
      <c r="X96" s="14" t="n">
        <v>909</v>
      </c>
      <c r="Y96" s="14" t="n">
        <v>5151</v>
      </c>
      <c r="Z96" s="14" t="n">
        <v>3757.2</v>
      </c>
      <c r="AA96" s="14" t="n">
        <v>1393.8</v>
      </c>
      <c r="AB96" s="15" t="n">
        <v>0.2705882352941177</v>
      </c>
      <c r="AC96" t="n">
        <v>8</v>
      </c>
      <c r="AD96" t="inlineStr">
        <is>
          <t>SUR|OP-000095|20260705|P-500</t>
        </is>
      </c>
      <c r="AE96" t="n">
        <v>1</v>
      </c>
    </row>
    <row r="97">
      <c r="A97" t="n">
        <v>96</v>
      </c>
      <c r="B97" t="inlineStr">
        <is>
          <t>OP-000096</t>
        </is>
      </c>
      <c r="C97" s="12" t="n">
        <v>46215</v>
      </c>
      <c r="D97" s="13" t="n">
        <v>0.2916666666666667</v>
      </c>
      <c r="E97" t="inlineStr">
        <is>
          <t>C-0027</t>
        </is>
      </c>
      <c r="F97" t="inlineStr">
        <is>
          <t>Cliente 27</t>
        </is>
      </c>
      <c r="G97" t="inlineStr">
        <is>
          <t>P-100</t>
        </is>
      </c>
      <c r="H97" t="inlineStr">
        <is>
          <t>Monitor 24</t>
        </is>
      </c>
      <c r="I97" t="inlineStr">
        <is>
          <t>Tecnologia</t>
        </is>
      </c>
      <c r="J97" t="inlineStr">
        <is>
          <t>Pacifico</t>
        </is>
      </c>
      <c r="K97" t="inlineStr">
        <is>
          <t>SUC-01</t>
        </is>
      </c>
      <c r="L97" t="inlineStr">
        <is>
          <t>Digital</t>
        </is>
      </c>
      <c r="M97" t="inlineStr">
        <is>
          <t>Aprobado</t>
        </is>
      </c>
      <c r="N97" t="inlineStr">
        <is>
          <t>Critica</t>
        </is>
      </c>
      <c r="O97" t="n">
        <v>7</v>
      </c>
      <c r="P97" s="14" t="n">
        <v>1652</v>
      </c>
      <c r="Q97" s="15" t="n">
        <v>0</v>
      </c>
      <c r="R97" s="14" t="n">
        <v>908.6</v>
      </c>
      <c r="S97" s="12" t="n">
        <v>46228</v>
      </c>
      <c r="T97" s="12" t="n">
        <v>46224</v>
      </c>
      <c r="U97" t="inlineStr">
        <is>
          <t>Resp 1</t>
        </is>
      </c>
      <c r="V97" t="inlineStr">
        <is>
          <t>archivo_01.csv</t>
        </is>
      </c>
      <c r="W97" s="14" t="n">
        <v>11564</v>
      </c>
      <c r="X97" s="14" t="n">
        <v>0</v>
      </c>
      <c r="Y97" s="14" t="n">
        <v>11564</v>
      </c>
      <c r="Z97" s="14" t="n">
        <v>6360.2</v>
      </c>
      <c r="AA97" s="14" t="n">
        <v>5203.8</v>
      </c>
      <c r="AB97" s="15" t="n">
        <v>0.45</v>
      </c>
      <c r="AC97" t="n">
        <v>9</v>
      </c>
      <c r="AD97" t="inlineStr">
        <is>
          <t>PACIFICO|OP-000096|20260712|P-100</t>
        </is>
      </c>
      <c r="AE97" t="n">
        <v>1</v>
      </c>
    </row>
    <row r="98">
      <c r="A98" t="n">
        <v>97</v>
      </c>
      <c r="B98" t="inlineStr">
        <is>
          <t>OP-000097</t>
        </is>
      </c>
      <c r="C98" s="12" t="n">
        <v>46222</v>
      </c>
      <c r="D98" s="13" t="n">
        <v>0.3368055555555556</v>
      </c>
      <c r="E98" t="inlineStr">
        <is>
          <t>C-0028</t>
        </is>
      </c>
      <c r="F98" t="inlineStr">
        <is>
          <t>Cliente 28</t>
        </is>
      </c>
      <c r="G98" t="inlineStr">
        <is>
          <t>P-200</t>
        </is>
      </c>
      <c r="H98" t="inlineStr">
        <is>
          <t>Teclado</t>
        </is>
      </c>
      <c r="I98" t="inlineStr">
        <is>
          <t>Tecnologia</t>
        </is>
      </c>
      <c r="J98" t="inlineStr">
        <is>
          <t>Norte</t>
        </is>
      </c>
      <c r="K98" t="inlineStr">
        <is>
          <t>SUC-02</t>
        </is>
      </c>
      <c r="L98" t="inlineStr">
        <is>
          <t>Tienda</t>
        </is>
      </c>
      <c r="M98" t="inlineStr">
        <is>
          <t>Pendiente</t>
        </is>
      </c>
      <c r="N98" t="inlineStr">
        <is>
          <t>Alta</t>
        </is>
      </c>
      <c r="O98" t="n">
        <v>10</v>
      </c>
      <c r="P98" s="14" t="n">
        <v>1789</v>
      </c>
      <c r="Q98" s="15" t="n">
        <v>0.05</v>
      </c>
      <c r="R98" s="14" t="n">
        <v>1001.84</v>
      </c>
      <c r="S98" s="12" t="n">
        <v>46236</v>
      </c>
      <c r="T98" s="12" t="n">
        <v>46232</v>
      </c>
      <c r="U98" t="inlineStr">
        <is>
          <t>Resp 2</t>
        </is>
      </c>
      <c r="V98" t="inlineStr">
        <is>
          <t>archivo_02.csv</t>
        </is>
      </c>
      <c r="W98" s="14" t="n">
        <v>17890</v>
      </c>
      <c r="X98" s="14" t="n">
        <v>894.5</v>
      </c>
      <c r="Y98" s="14" t="n">
        <v>16995.5</v>
      </c>
      <c r="Z98" s="14" t="n">
        <v>10018.4</v>
      </c>
      <c r="AA98" s="14" t="n">
        <v>6977.1</v>
      </c>
      <c r="AB98" s="15" t="n">
        <v>0.4105263157894737</v>
      </c>
      <c r="AC98" t="n">
        <v>10</v>
      </c>
      <c r="AD98" t="inlineStr">
        <is>
          <t>NORTE|OP-000097|20260719|P-200</t>
        </is>
      </c>
      <c r="AE98" t="n">
        <v>1</v>
      </c>
    </row>
    <row r="99">
      <c r="A99" t="n">
        <v>98</v>
      </c>
      <c r="B99" t="inlineStr">
        <is>
          <t>OP-000098</t>
        </is>
      </c>
      <c r="C99" s="12" t="n">
        <v>46229</v>
      </c>
      <c r="D99" s="13" t="n">
        <v>0.3819444444444444</v>
      </c>
      <c r="E99" t="inlineStr">
        <is>
          <t>C-0029</t>
        </is>
      </c>
      <c r="F99" t="inlineStr">
        <is>
          <t>Cliente 29</t>
        </is>
      </c>
      <c r="G99" t="inlineStr">
        <is>
          <t>P-300</t>
        </is>
      </c>
      <c r="H99" t="inlineStr">
        <is>
          <t>Mouse</t>
        </is>
      </c>
      <c r="I99" t="inlineStr">
        <is>
          <t>Tecnologia</t>
        </is>
      </c>
      <c r="J99" t="inlineStr">
        <is>
          <t>Centro</t>
        </is>
      </c>
      <c r="K99" t="inlineStr">
        <is>
          <t>SUC-03</t>
        </is>
      </c>
      <c r="L99" t="inlineStr">
        <is>
          <t>Distribuidor</t>
        </is>
      </c>
      <c r="M99" t="inlineStr">
        <is>
          <t>Cancelado</t>
        </is>
      </c>
      <c r="N99" t="inlineStr">
        <is>
          <t>Media</t>
        </is>
      </c>
      <c r="O99" t="n">
        <v>13</v>
      </c>
      <c r="P99" s="14" t="n">
        <v>1926</v>
      </c>
      <c r="Q99" s="15" t="n">
        <v>0.1</v>
      </c>
      <c r="R99" s="14" t="n">
        <v>1097.82</v>
      </c>
      <c r="S99" s="12" t="n">
        <v>46244</v>
      </c>
      <c r="T99" s="12" t="n">
        <v>46240</v>
      </c>
      <c r="U99" t="inlineStr">
        <is>
          <t>Resp 3</t>
        </is>
      </c>
      <c r="V99" t="inlineStr">
        <is>
          <t>archivo_03.csv</t>
        </is>
      </c>
      <c r="W99" s="14" t="n">
        <v>25038</v>
      </c>
      <c r="X99" s="14" t="n">
        <v>2503.8</v>
      </c>
      <c r="Y99" s="14" t="n">
        <v>22534.2</v>
      </c>
      <c r="Z99" s="14" t="n">
        <v>14271.66</v>
      </c>
      <c r="AA99" s="14" t="n">
        <v>8262.540000000001</v>
      </c>
      <c r="AB99" s="15" t="n">
        <v>0.3666666666666667</v>
      </c>
      <c r="AC99" t="n">
        <v>11</v>
      </c>
      <c r="AD99" t="inlineStr">
        <is>
          <t>CENTRO|OP-000098|20260726|P-300</t>
        </is>
      </c>
      <c r="AE99" t="n">
        <v>1</v>
      </c>
    </row>
    <row r="100">
      <c r="A100" t="n">
        <v>99</v>
      </c>
      <c r="B100" t="inlineStr">
        <is>
          <t>OP-000099</t>
        </is>
      </c>
      <c r="C100" s="12" t="n">
        <v>46236</v>
      </c>
      <c r="D100" s="13" t="n">
        <v>0.4270833333333333</v>
      </c>
      <c r="E100" t="inlineStr">
        <is>
          <t>C-0030</t>
        </is>
      </c>
      <c r="F100" t="inlineStr">
        <is>
          <t>Cliente 30</t>
        </is>
      </c>
      <c r="G100" t="inlineStr">
        <is>
          <t>P-400</t>
        </is>
      </c>
      <c r="H100" t="inlineStr">
        <is>
          <t>Laptop</t>
        </is>
      </c>
      <c r="I100" t="inlineStr">
        <is>
          <t>Tecnologia</t>
        </is>
      </c>
      <c r="J100" t="inlineStr">
        <is>
          <t>Sur</t>
        </is>
      </c>
      <c r="K100" t="inlineStr">
        <is>
          <t>SUC-04</t>
        </is>
      </c>
      <c r="L100" t="inlineStr">
        <is>
          <t>Digital</t>
        </is>
      </c>
      <c r="M100" t="inlineStr">
        <is>
          <t>En revision</t>
        </is>
      </c>
      <c r="N100" t="inlineStr">
        <is>
          <t>Baja</t>
        </is>
      </c>
      <c r="O100" t="n">
        <v>16</v>
      </c>
      <c r="P100" s="14" t="n">
        <v>2063</v>
      </c>
      <c r="Q100" s="15" t="n">
        <v>0.15</v>
      </c>
      <c r="R100" s="14" t="n">
        <v>1196.54</v>
      </c>
      <c r="S100" s="12" t="n">
        <v>46252</v>
      </c>
      <c r="T100" s="12" t="n">
        <v>46248</v>
      </c>
      <c r="U100" t="inlineStr">
        <is>
          <t>Resp 4</t>
        </is>
      </c>
      <c r="V100" t="inlineStr">
        <is>
          <t>archivo_04.csv</t>
        </is>
      </c>
      <c r="W100" s="14" t="n">
        <v>33008</v>
      </c>
      <c r="X100" s="14" t="n">
        <v>4951.2</v>
      </c>
      <c r="Y100" s="14" t="n">
        <v>28056.8</v>
      </c>
      <c r="Z100" s="14" t="n">
        <v>19144.64</v>
      </c>
      <c r="AA100" s="14" t="n">
        <v>8912.16</v>
      </c>
      <c r="AB100" s="15" t="n">
        <v>0.3176470588235294</v>
      </c>
      <c r="AC100" t="n">
        <v>12</v>
      </c>
      <c r="AD100" t="inlineStr">
        <is>
          <t>SUR|OP-000099|20260802|P-400</t>
        </is>
      </c>
      <c r="AE100" t="n">
        <v>1</v>
      </c>
    </row>
    <row r="101">
      <c r="A101" t="n">
        <v>100</v>
      </c>
      <c r="B101" t="inlineStr">
        <is>
          <t>OP-000100</t>
        </is>
      </c>
      <c r="C101" s="12" t="n">
        <v>46243</v>
      </c>
      <c r="D101" s="13" t="n">
        <v>0.4722222222222222</v>
      </c>
      <c r="E101" t="inlineStr">
        <is>
          <t>C-0031</t>
        </is>
      </c>
      <c r="F101" t="inlineStr">
        <is>
          <t>Cliente 31</t>
        </is>
      </c>
      <c r="G101" t="inlineStr">
        <is>
          <t>P-500</t>
        </is>
      </c>
      <c r="H101" t="inlineStr">
        <is>
          <t>Dock</t>
        </is>
      </c>
      <c r="I101" t="inlineStr">
        <is>
          <t>Tecnologia</t>
        </is>
      </c>
      <c r="J101" t="inlineStr">
        <is>
          <t>Pacifico</t>
        </is>
      </c>
      <c r="K101" t="inlineStr">
        <is>
          <t>SUC-05</t>
        </is>
      </c>
      <c r="L101" t="inlineStr">
        <is>
          <t>Tienda</t>
        </is>
      </c>
      <c r="M101" t="inlineStr">
        <is>
          <t>Aprobado</t>
        </is>
      </c>
      <c r="N101" t="inlineStr">
        <is>
          <t>Critica</t>
        </is>
      </c>
      <c r="O101" t="n">
        <v>19</v>
      </c>
      <c r="P101" s="14" t="n">
        <v>2200</v>
      </c>
      <c r="Q101" s="15" t="n">
        <v>0</v>
      </c>
      <c r="R101" s="14" t="n">
        <v>1298</v>
      </c>
      <c r="S101" s="12" t="n">
        <v>46250</v>
      </c>
      <c r="T101" s="12" t="n">
        <v>46256</v>
      </c>
      <c r="U101" t="inlineStr">
        <is>
          <t>Resp 5</t>
        </is>
      </c>
      <c r="V101" t="inlineStr">
        <is>
          <t>archivo_05.csv</t>
        </is>
      </c>
      <c r="W101" s="14" t="n">
        <v>41800</v>
      </c>
      <c r="X101" s="14" t="n">
        <v>0</v>
      </c>
      <c r="Y101" s="14" t="n">
        <v>41800</v>
      </c>
      <c r="Z101" s="14" t="n">
        <v>24662</v>
      </c>
      <c r="AA101" s="14" t="n">
        <v>17138</v>
      </c>
      <c r="AB101" s="15" t="n">
        <v>0.41</v>
      </c>
      <c r="AC101" t="n">
        <v>13</v>
      </c>
      <c r="AD101" t="inlineStr">
        <is>
          <t>PACIFICO|OP-000100|20260809|P-500</t>
        </is>
      </c>
      <c r="AE101" t="n">
        <v>1</v>
      </c>
    </row>
    <row r="102">
      <c r="A102" t="n">
        <v>101</v>
      </c>
      <c r="B102" t="inlineStr">
        <is>
          <t>OP-000101</t>
        </is>
      </c>
      <c r="C102" s="12" t="n">
        <v>46250</v>
      </c>
      <c r="D102" s="13" t="n">
        <v>0.5173611111111112</v>
      </c>
      <c r="E102" t="inlineStr">
        <is>
          <t>C-0032</t>
        </is>
      </c>
      <c r="F102" t="inlineStr">
        <is>
          <t>Cliente 32</t>
        </is>
      </c>
      <c r="G102" t="inlineStr">
        <is>
          <t>P-100</t>
        </is>
      </c>
      <c r="H102" t="inlineStr">
        <is>
          <t>Monitor 24</t>
        </is>
      </c>
      <c r="I102" t="inlineStr">
        <is>
          <t>Tecnologia</t>
        </is>
      </c>
      <c r="J102" t="inlineStr">
        <is>
          <t>Norte</t>
        </is>
      </c>
      <c r="K102" t="inlineStr">
        <is>
          <t>SUC-06</t>
        </is>
      </c>
      <c r="L102" t="inlineStr">
        <is>
          <t>Distribuidor</t>
        </is>
      </c>
      <c r="M102" t="inlineStr">
        <is>
          <t>Pendiente</t>
        </is>
      </c>
      <c r="N102" t="inlineStr">
        <is>
          <t>Alta</t>
        </is>
      </c>
      <c r="O102" t="n">
        <v>22</v>
      </c>
      <c r="P102" s="14" t="n">
        <v>2337</v>
      </c>
      <c r="Q102" s="15" t="n">
        <v>0.05</v>
      </c>
      <c r="R102" s="14" t="n">
        <v>1402.2</v>
      </c>
      <c r="S102" s="12" t="n">
        <v>46258</v>
      </c>
      <c r="T102" s="12" t="n">
        <v>46264</v>
      </c>
      <c r="U102" t="inlineStr">
        <is>
          <t>Resp 6</t>
        </is>
      </c>
      <c r="V102" t="inlineStr">
        <is>
          <t>archivo_06.csv</t>
        </is>
      </c>
      <c r="W102" s="14" t="n">
        <v>51414</v>
      </c>
      <c r="X102" s="14" t="n">
        <v>2570.7</v>
      </c>
      <c r="Y102" s="14" t="n">
        <v>48843.3</v>
      </c>
      <c r="Z102" s="14" t="n">
        <v>30848.4</v>
      </c>
      <c r="AA102" s="14" t="n">
        <v>17994.9</v>
      </c>
      <c r="AB102" s="15" t="n">
        <v>0.368421052631579</v>
      </c>
      <c r="AC102" t="n">
        <v>14</v>
      </c>
      <c r="AD102" t="inlineStr">
        <is>
          <t>NORTE|OP-000101|20260816|P-100</t>
        </is>
      </c>
      <c r="AE102" t="n">
        <v>1</v>
      </c>
    </row>
    <row r="103">
      <c r="A103" t="n">
        <v>102</v>
      </c>
      <c r="B103" t="inlineStr">
        <is>
          <t>OP-000102</t>
        </is>
      </c>
      <c r="C103" s="12" t="n">
        <v>46257</v>
      </c>
      <c r="D103" s="13" t="n">
        <v>0.5625</v>
      </c>
      <c r="E103" t="inlineStr">
        <is>
          <t>C-0033</t>
        </is>
      </c>
      <c r="F103" t="inlineStr">
        <is>
          <t>Cliente 33</t>
        </is>
      </c>
      <c r="G103" t="inlineStr">
        <is>
          <t>P-200</t>
        </is>
      </c>
      <c r="H103" t="inlineStr">
        <is>
          <t>Teclado</t>
        </is>
      </c>
      <c r="I103" t="inlineStr">
        <is>
          <t>Tecnologia</t>
        </is>
      </c>
      <c r="J103" t="inlineStr">
        <is>
          <t>Centro</t>
        </is>
      </c>
      <c r="K103" t="inlineStr">
        <is>
          <t>SUC-07</t>
        </is>
      </c>
      <c r="L103" t="inlineStr">
        <is>
          <t>Digital</t>
        </is>
      </c>
      <c r="M103" t="inlineStr">
        <is>
          <t>Cancelado</t>
        </is>
      </c>
      <c r="N103" t="inlineStr">
        <is>
          <t>Media</t>
        </is>
      </c>
      <c r="O103" t="n">
        <v>25</v>
      </c>
      <c r="P103" s="14" t="n">
        <v>2474</v>
      </c>
      <c r="Q103" s="15" t="n">
        <v>0.1</v>
      </c>
      <c r="R103" s="14" t="n">
        <v>1509.14</v>
      </c>
      <c r="S103" s="12" t="n">
        <v>46266</v>
      </c>
      <c r="T103" s="12" t="n">
        <v>46272</v>
      </c>
      <c r="U103" t="inlineStr">
        <is>
          <t>Resp 7</t>
        </is>
      </c>
      <c r="V103" t="inlineStr">
        <is>
          <t>archivo_01.csv</t>
        </is>
      </c>
      <c r="W103" s="14" t="n">
        <v>61850</v>
      </c>
      <c r="X103" s="14" t="n">
        <v>6185</v>
      </c>
      <c r="Y103" s="14" t="n">
        <v>55665</v>
      </c>
      <c r="Z103" s="14" t="n">
        <v>37728.5</v>
      </c>
      <c r="AA103" s="14" t="n">
        <v>17936.5</v>
      </c>
      <c r="AB103" s="15" t="n">
        <v>0.3222222222222222</v>
      </c>
      <c r="AC103" t="n">
        <v>15</v>
      </c>
      <c r="AD103" t="inlineStr">
        <is>
          <t>CENTRO|OP-000102|20260823|P-200</t>
        </is>
      </c>
      <c r="AE103" t="n">
        <v>1</v>
      </c>
    </row>
    <row r="104">
      <c r="A104" t="n">
        <v>103</v>
      </c>
      <c r="B104" t="inlineStr">
        <is>
          <t>OP-000103</t>
        </is>
      </c>
      <c r="C104" s="12" t="n">
        <v>46024</v>
      </c>
      <c r="D104" s="13" t="n">
        <v>0.6076388888888888</v>
      </c>
      <c r="E104" t="inlineStr">
        <is>
          <t>C-0034</t>
        </is>
      </c>
      <c r="F104" t="inlineStr">
        <is>
          <t>Cliente 34</t>
        </is>
      </c>
      <c r="G104" t="inlineStr">
        <is>
          <t>P-300</t>
        </is>
      </c>
      <c r="H104" t="inlineStr">
        <is>
          <t>Mouse</t>
        </is>
      </c>
      <c r="I104" t="inlineStr">
        <is>
          <t>Tecnologia</t>
        </is>
      </c>
      <c r="J104" t="inlineStr">
        <is>
          <t>Sur</t>
        </is>
      </c>
      <c r="K104" t="inlineStr">
        <is>
          <t>SUC-08</t>
        </is>
      </c>
      <c r="L104" t="inlineStr">
        <is>
          <t>Tienda</t>
        </is>
      </c>
      <c r="M104" t="inlineStr">
        <is>
          <t>En revision</t>
        </is>
      </c>
      <c r="N104" t="inlineStr">
        <is>
          <t>Baja</t>
        </is>
      </c>
      <c r="O104" t="n">
        <v>28</v>
      </c>
      <c r="P104" s="14" t="n">
        <v>2611</v>
      </c>
      <c r="Q104" s="15" t="n">
        <v>0.15</v>
      </c>
      <c r="R104" s="14" t="n">
        <v>1618.82</v>
      </c>
      <c r="S104" s="12" t="n">
        <v>46034</v>
      </c>
      <c r="T104" s="12" t="n">
        <v>46040</v>
      </c>
      <c r="U104" t="inlineStr">
        <is>
          <t>Resp 8</t>
        </is>
      </c>
      <c r="V104" t="inlineStr">
        <is>
          <t>archivo_02.csv</t>
        </is>
      </c>
      <c r="W104" s="14" t="n">
        <v>73108</v>
      </c>
      <c r="X104" s="14" t="n">
        <v>10966.2</v>
      </c>
      <c r="Y104" s="14" t="n">
        <v>62141.8</v>
      </c>
      <c r="Z104" s="14" t="n">
        <v>45326.96</v>
      </c>
      <c r="AA104" s="14" t="n">
        <v>16814.84</v>
      </c>
      <c r="AB104" s="15" t="n">
        <v>0.2705882352941177</v>
      </c>
      <c r="AC104" t="n">
        <v>16</v>
      </c>
      <c r="AD104" t="inlineStr">
        <is>
          <t>SUR|OP-000103|20260102|P-300</t>
        </is>
      </c>
      <c r="AE104" t="n">
        <v>1</v>
      </c>
    </row>
    <row r="105">
      <c r="A105" t="n">
        <v>104</v>
      </c>
      <c r="B105" t="inlineStr">
        <is>
          <t>OP-000104</t>
        </is>
      </c>
      <c r="C105" s="12" t="n">
        <v>46031</v>
      </c>
      <c r="D105" s="13" t="n">
        <v>0.6527777777777778</v>
      </c>
      <c r="E105" t="inlineStr">
        <is>
          <t>C-0035</t>
        </is>
      </c>
      <c r="F105" t="inlineStr">
        <is>
          <t>Cliente 35</t>
        </is>
      </c>
      <c r="G105" t="inlineStr">
        <is>
          <t>P-400</t>
        </is>
      </c>
      <c r="H105" t="inlineStr">
        <is>
          <t>Laptop</t>
        </is>
      </c>
      <c r="I105" t="inlineStr">
        <is>
          <t>Tecnologia</t>
        </is>
      </c>
      <c r="J105" t="inlineStr">
        <is>
          <t>Pacifico</t>
        </is>
      </c>
      <c r="K105" t="inlineStr">
        <is>
          <t>SUC-01</t>
        </is>
      </c>
      <c r="L105" t="inlineStr">
        <is>
          <t>Distribuidor</t>
        </is>
      </c>
      <c r="M105" t="inlineStr">
        <is>
          <t>Aprobado</t>
        </is>
      </c>
      <c r="N105" t="inlineStr">
        <is>
          <t>Critica</t>
        </is>
      </c>
      <c r="O105" t="n">
        <v>31</v>
      </c>
      <c r="P105" s="14" t="n">
        <v>2748</v>
      </c>
      <c r="Q105" s="15" t="n">
        <v>0</v>
      </c>
      <c r="R105" s="14" t="n">
        <v>1511.4</v>
      </c>
      <c r="S105" s="12" t="n">
        <v>46042</v>
      </c>
      <c r="T105" s="12" t="n">
        <v>46048</v>
      </c>
      <c r="U105" t="inlineStr">
        <is>
          <t>Resp 9</t>
        </is>
      </c>
      <c r="V105" t="inlineStr">
        <is>
          <t>archivo_03.csv</t>
        </is>
      </c>
      <c r="W105" s="14" t="n">
        <v>85188</v>
      </c>
      <c r="X105" s="14" t="n">
        <v>0</v>
      </c>
      <c r="Y105" s="14" t="n">
        <v>85188</v>
      </c>
      <c r="Z105" s="14" t="n">
        <v>46853.4</v>
      </c>
      <c r="AA105" s="14" t="n">
        <v>38334.6</v>
      </c>
      <c r="AB105" s="15" t="n">
        <v>0.45</v>
      </c>
      <c r="AC105" t="n">
        <v>17</v>
      </c>
      <c r="AD105" t="inlineStr">
        <is>
          <t>PACIFICO|OP-000104|20260109|P-400</t>
        </is>
      </c>
      <c r="AE105" t="n">
        <v>1</v>
      </c>
    </row>
    <row r="106">
      <c r="A106" t="n">
        <v>105</v>
      </c>
      <c r="B106" t="inlineStr">
        <is>
          <t>OP-000105</t>
        </is>
      </c>
      <c r="C106" s="12" t="n">
        <v>46038</v>
      </c>
      <c r="D106" s="13" t="n">
        <v>0.6979166666666666</v>
      </c>
      <c r="E106" t="inlineStr">
        <is>
          <t>C-0001</t>
        </is>
      </c>
      <c r="F106" t="inlineStr">
        <is>
          <t>Cliente 1</t>
        </is>
      </c>
      <c r="G106" t="inlineStr">
        <is>
          <t>P-500</t>
        </is>
      </c>
      <c r="H106" t="inlineStr">
        <is>
          <t>Dock</t>
        </is>
      </c>
      <c r="I106" t="inlineStr">
        <is>
          <t>Tecnologia</t>
        </is>
      </c>
      <c r="J106" t="inlineStr">
        <is>
          <t>Norte</t>
        </is>
      </c>
      <c r="K106" t="inlineStr">
        <is>
          <t>SUC-02</t>
        </is>
      </c>
      <c r="L106" t="inlineStr">
        <is>
          <t>Digital</t>
        </is>
      </c>
      <c r="M106" t="inlineStr">
        <is>
          <t>Pendiente</t>
        </is>
      </c>
      <c r="N106" t="inlineStr">
        <is>
          <t>Alta</t>
        </is>
      </c>
      <c r="O106" t="n">
        <v>34</v>
      </c>
      <c r="P106" s="14" t="n">
        <v>2885</v>
      </c>
      <c r="Q106" s="15" t="n">
        <v>0.05</v>
      </c>
      <c r="R106" s="14" t="n">
        <v>1615.6</v>
      </c>
      <c r="S106" s="12" t="n">
        <v>46050</v>
      </c>
      <c r="T106" s="12" t="n">
        <v>46041</v>
      </c>
      <c r="U106" t="inlineStr">
        <is>
          <t>Resp 10</t>
        </is>
      </c>
      <c r="V106" t="inlineStr">
        <is>
          <t>archivo_04.csv</t>
        </is>
      </c>
      <c r="W106" s="14" t="n">
        <v>98090</v>
      </c>
      <c r="X106" s="14" t="n">
        <v>4904.5</v>
      </c>
      <c r="Y106" s="14" t="n">
        <v>93185.5</v>
      </c>
      <c r="Z106" s="14" t="n">
        <v>54930.39999999999</v>
      </c>
      <c r="AA106" s="14" t="n">
        <v>38255.10000000001</v>
      </c>
      <c r="AB106" s="15" t="n">
        <v>0.4105263157894737</v>
      </c>
      <c r="AC106" t="n">
        <v>3</v>
      </c>
      <c r="AD106" t="inlineStr">
        <is>
          <t>NORTE|OP-000105|20260116|P-500</t>
        </is>
      </c>
      <c r="AE106" t="n">
        <v>1</v>
      </c>
    </row>
    <row r="107">
      <c r="A107" t="n">
        <v>106</v>
      </c>
      <c r="B107" t="inlineStr">
        <is>
          <t>OP-000106</t>
        </is>
      </c>
      <c r="C107" s="12" t="n">
        <v>46045</v>
      </c>
      <c r="D107" s="13" t="n">
        <v>0.7430555555555556</v>
      </c>
      <c r="E107" t="inlineStr">
        <is>
          <t>C-0002</t>
        </is>
      </c>
      <c r="F107" t="inlineStr">
        <is>
          <t>Cliente 2</t>
        </is>
      </c>
      <c r="G107" t="inlineStr">
        <is>
          <t>P-100</t>
        </is>
      </c>
      <c r="H107" t="inlineStr">
        <is>
          <t>Monitor 24</t>
        </is>
      </c>
      <c r="I107" t="inlineStr">
        <is>
          <t>Tecnologia</t>
        </is>
      </c>
      <c r="J107" t="inlineStr">
        <is>
          <t>Centro</t>
        </is>
      </c>
      <c r="K107" t="inlineStr">
        <is>
          <t>SUC-03</t>
        </is>
      </c>
      <c r="L107" t="inlineStr">
        <is>
          <t>Tienda</t>
        </is>
      </c>
      <c r="M107" t="inlineStr">
        <is>
          <t>Cancelado</t>
        </is>
      </c>
      <c r="N107" t="inlineStr">
        <is>
          <t>Media</t>
        </is>
      </c>
      <c r="O107" t="n">
        <v>37</v>
      </c>
      <c r="P107" s="14" t="n">
        <v>3022</v>
      </c>
      <c r="Q107" s="15" t="n">
        <v>0.1</v>
      </c>
      <c r="R107" s="14" t="n">
        <v>1722.54</v>
      </c>
      <c r="S107" s="12" t="n">
        <v>46058</v>
      </c>
      <c r="T107" s="12" t="n">
        <v>46049</v>
      </c>
      <c r="U107" t="inlineStr">
        <is>
          <t>Resp 11</t>
        </is>
      </c>
      <c r="V107" t="inlineStr">
        <is>
          <t>archivo_05.csv</t>
        </is>
      </c>
      <c r="W107" s="14" t="n">
        <v>111814</v>
      </c>
      <c r="X107" s="14" t="n">
        <v>11181.4</v>
      </c>
      <c r="Y107" s="14" t="n">
        <v>100632.6</v>
      </c>
      <c r="Z107" s="14" t="n">
        <v>63733.98</v>
      </c>
      <c r="AA107" s="14" t="n">
        <v>36898.62000000001</v>
      </c>
      <c r="AB107" s="15" t="n">
        <v>0.3666666666666668</v>
      </c>
      <c r="AC107" t="n">
        <v>4</v>
      </c>
      <c r="AD107" t="inlineStr">
        <is>
          <t>CENTRO|OP-000106|20260123|P-100</t>
        </is>
      </c>
      <c r="AE107" t="n">
        <v>1</v>
      </c>
    </row>
    <row r="108">
      <c r="A108" t="n">
        <v>107</v>
      </c>
      <c r="B108" t="inlineStr">
        <is>
          <t>OP-000107</t>
        </is>
      </c>
      <c r="C108" s="12" t="n">
        <v>46052</v>
      </c>
      <c r="D108" s="13" t="n">
        <v>0.7881944444444444</v>
      </c>
      <c r="E108" t="inlineStr">
        <is>
          <t>C-0003</t>
        </is>
      </c>
      <c r="F108" t="inlineStr">
        <is>
          <t>Cliente 3</t>
        </is>
      </c>
      <c r="G108" t="inlineStr">
        <is>
          <t>P-200</t>
        </is>
      </c>
      <c r="H108" t="inlineStr">
        <is>
          <t>Teclado</t>
        </is>
      </c>
      <c r="I108" t="inlineStr">
        <is>
          <t>Tecnologia</t>
        </is>
      </c>
      <c r="J108" t="inlineStr">
        <is>
          <t>Sur</t>
        </is>
      </c>
      <c r="K108" t="inlineStr">
        <is>
          <t>SUC-04</t>
        </is>
      </c>
      <c r="L108" t="inlineStr">
        <is>
          <t>Distribuidor</t>
        </is>
      </c>
      <c r="M108" t="inlineStr">
        <is>
          <t>En revision</t>
        </is>
      </c>
      <c r="N108" t="inlineStr">
        <is>
          <t>Baja</t>
        </is>
      </c>
      <c r="O108" t="n">
        <v>40</v>
      </c>
      <c r="P108" s="14" t="n">
        <v>3159</v>
      </c>
      <c r="Q108" s="15" t="n">
        <v>0.15</v>
      </c>
      <c r="R108" s="14" t="n">
        <v>1832.22</v>
      </c>
      <c r="S108" s="12" t="n">
        <v>46066</v>
      </c>
      <c r="T108" s="12" t="n">
        <v>46057</v>
      </c>
      <c r="U108" t="inlineStr">
        <is>
          <t>Resp 12</t>
        </is>
      </c>
      <c r="V108" t="inlineStr">
        <is>
          <t>archivo_06.csv</t>
        </is>
      </c>
      <c r="W108" s="14" t="n">
        <v>126360</v>
      </c>
      <c r="X108" s="14" t="n">
        <v>18954</v>
      </c>
      <c r="Y108" s="14" t="n">
        <v>107406</v>
      </c>
      <c r="Z108" s="14" t="n">
        <v>73288.8</v>
      </c>
      <c r="AA108" s="14" t="n">
        <v>34117.2</v>
      </c>
      <c r="AB108" s="15" t="n">
        <v>0.3176470588235294</v>
      </c>
      <c r="AC108" t="n">
        <v>5</v>
      </c>
      <c r="AD108" t="inlineStr">
        <is>
          <t>SUR|OP-000107|20260130|P-200</t>
        </is>
      </c>
      <c r="AE108" t="n">
        <v>1</v>
      </c>
    </row>
    <row r="109">
      <c r="A109" t="n">
        <v>108</v>
      </c>
      <c r="B109" t="inlineStr">
        <is>
          <t>OP-000108</t>
        </is>
      </c>
      <c r="C109" s="12" t="n">
        <v>46059</v>
      </c>
      <c r="D109" s="13" t="n">
        <v>0.2916666666666667</v>
      </c>
      <c r="E109" t="inlineStr">
        <is>
          <t>C-0004</t>
        </is>
      </c>
      <c r="F109" t="inlineStr">
        <is>
          <t>Cliente 4</t>
        </is>
      </c>
      <c r="G109" t="inlineStr">
        <is>
          <t>P-300</t>
        </is>
      </c>
      <c r="H109" t="inlineStr">
        <is>
          <t>Mouse</t>
        </is>
      </c>
      <c r="I109" t="inlineStr">
        <is>
          <t>Tecnologia</t>
        </is>
      </c>
      <c r="J109" t="inlineStr">
        <is>
          <t>Pacifico</t>
        </is>
      </c>
      <c r="K109" t="inlineStr">
        <is>
          <t>SUC-05</t>
        </is>
      </c>
      <c r="L109" t="inlineStr">
        <is>
          <t>Digital</t>
        </is>
      </c>
      <c r="M109" t="inlineStr">
        <is>
          <t>Aprobado</t>
        </is>
      </c>
      <c r="N109" t="inlineStr">
        <is>
          <t>Critica</t>
        </is>
      </c>
      <c r="O109" t="n">
        <v>43</v>
      </c>
      <c r="P109" s="14" t="n">
        <v>3296</v>
      </c>
      <c r="Q109" s="15" t="n">
        <v>0</v>
      </c>
      <c r="R109" s="14" t="n">
        <v>1944.64</v>
      </c>
      <c r="S109" s="12" t="n">
        <v>46074</v>
      </c>
      <c r="T109" s="12" t="n">
        <v>46065</v>
      </c>
      <c r="U109" t="inlineStr">
        <is>
          <t>Resp 1</t>
        </is>
      </c>
      <c r="V109" t="inlineStr">
        <is>
          <t>archivo_01.csv</t>
        </is>
      </c>
      <c r="W109" s="14" t="n">
        <v>141728</v>
      </c>
      <c r="X109" s="14" t="n">
        <v>0</v>
      </c>
      <c r="Y109" s="14" t="n">
        <v>141728</v>
      </c>
      <c r="Z109" s="14" t="n">
        <v>83619.52</v>
      </c>
      <c r="AA109" s="14" t="n">
        <v>58108.48</v>
      </c>
      <c r="AB109" s="15" t="n">
        <v>0.41</v>
      </c>
      <c r="AC109" t="n">
        <v>6</v>
      </c>
      <c r="AD109" t="inlineStr">
        <is>
          <t>PACIFICO|OP-000108|20260206|P-300</t>
        </is>
      </c>
      <c r="AE109" t="n">
        <v>1</v>
      </c>
    </row>
    <row r="110">
      <c r="A110" t="n">
        <v>109</v>
      </c>
      <c r="B110" t="inlineStr">
        <is>
          <t>OP-000109</t>
        </is>
      </c>
      <c r="C110" s="12" t="n">
        <v>46066</v>
      </c>
      <c r="D110" s="13" t="n">
        <v>0.3368055555555556</v>
      </c>
      <c r="E110" t="inlineStr">
        <is>
          <t>C-0005</t>
        </is>
      </c>
      <c r="F110" t="inlineStr">
        <is>
          <t>Cliente 5</t>
        </is>
      </c>
      <c r="G110" t="inlineStr">
        <is>
          <t>P-400</t>
        </is>
      </c>
      <c r="H110" t="inlineStr">
        <is>
          <t>Laptop</t>
        </is>
      </c>
      <c r="I110" t="inlineStr">
        <is>
          <t>Tecnologia</t>
        </is>
      </c>
      <c r="J110" t="inlineStr">
        <is>
          <t>Norte</t>
        </is>
      </c>
      <c r="K110" t="inlineStr">
        <is>
          <t>SUC-06</t>
        </is>
      </c>
      <c r="L110" t="inlineStr">
        <is>
          <t>Tienda</t>
        </is>
      </c>
      <c r="M110" t="inlineStr">
        <is>
          <t>Pendiente</t>
        </is>
      </c>
      <c r="N110" t="inlineStr">
        <is>
          <t>Alta</t>
        </is>
      </c>
      <c r="O110" t="n">
        <v>46</v>
      </c>
      <c r="P110" s="14" t="n">
        <v>3433</v>
      </c>
      <c r="Q110" s="15" t="n">
        <v>0.05</v>
      </c>
      <c r="R110" s="14" t="n">
        <v>2059.8</v>
      </c>
      <c r="S110" s="12" t="n">
        <v>46082</v>
      </c>
      <c r="T110" s="12" t="n">
        <v>46073</v>
      </c>
      <c r="U110" t="inlineStr">
        <is>
          <t>Resp 2</t>
        </is>
      </c>
      <c r="V110" t="inlineStr">
        <is>
          <t>archivo_02.csv</t>
        </is>
      </c>
      <c r="W110" s="14" t="n">
        <v>157918</v>
      </c>
      <c r="X110" s="14" t="n">
        <v>7895.900000000001</v>
      </c>
      <c r="Y110" s="14" t="n">
        <v>150022.1</v>
      </c>
      <c r="Z110" s="14" t="n">
        <v>94750.8</v>
      </c>
      <c r="AA110" s="14" t="n">
        <v>55271.3</v>
      </c>
      <c r="AB110" s="15" t="n">
        <v>0.3684210526315789</v>
      </c>
      <c r="AC110" t="n">
        <v>7</v>
      </c>
      <c r="AD110" t="inlineStr">
        <is>
          <t>NORTE|OP-000109|20260213|P-400</t>
        </is>
      </c>
      <c r="AE110" t="n">
        <v>1</v>
      </c>
    </row>
    <row r="111">
      <c r="A111" t="n">
        <v>110</v>
      </c>
      <c r="B111" t="inlineStr">
        <is>
          <t>OP-000110</t>
        </is>
      </c>
      <c r="C111" s="12" t="n">
        <v>46073</v>
      </c>
      <c r="D111" s="13" t="n">
        <v>0.3819444444444444</v>
      </c>
      <c r="E111" t="inlineStr">
        <is>
          <t>C-0006</t>
        </is>
      </c>
      <c r="F111" t="inlineStr">
        <is>
          <t>Cliente 6</t>
        </is>
      </c>
      <c r="G111" t="inlineStr">
        <is>
          <t>P-500</t>
        </is>
      </c>
      <c r="H111" t="inlineStr">
        <is>
          <t>Dock</t>
        </is>
      </c>
      <c r="I111" t="inlineStr">
        <is>
          <t>Tecnologia</t>
        </is>
      </c>
      <c r="J111" t="inlineStr">
        <is>
          <t>Centro</t>
        </is>
      </c>
      <c r="K111" t="inlineStr">
        <is>
          <t>SUC-07</t>
        </is>
      </c>
      <c r="L111" t="inlineStr">
        <is>
          <t>Distribuidor</t>
        </is>
      </c>
      <c r="M111" t="inlineStr">
        <is>
          <t>Cancelado</t>
        </is>
      </c>
      <c r="N111" t="inlineStr">
        <is>
          <t>Media</t>
        </is>
      </c>
      <c r="O111" t="n">
        <v>2</v>
      </c>
      <c r="P111" s="14" t="n">
        <v>3570</v>
      </c>
      <c r="Q111" s="15" t="n">
        <v>0.1</v>
      </c>
      <c r="R111" s="14" t="n">
        <v>2177.7</v>
      </c>
      <c r="S111" s="12" t="n">
        <v>46080</v>
      </c>
      <c r="T111" s="12" t="n">
        <v>46081</v>
      </c>
      <c r="U111" t="inlineStr">
        <is>
          <t>Resp 3</t>
        </is>
      </c>
      <c r="V111" t="inlineStr">
        <is>
          <t>archivo_03.csv</t>
        </is>
      </c>
      <c r="W111" s="14" t="n">
        <v>7140</v>
      </c>
      <c r="X111" s="14" t="n">
        <v>714</v>
      </c>
      <c r="Y111" s="14" t="n">
        <v>6426</v>
      </c>
      <c r="Z111" s="14" t="n">
        <v>4355.4</v>
      </c>
      <c r="AA111" s="14" t="n">
        <v>2070.6</v>
      </c>
      <c r="AB111" s="15" t="n">
        <v>0.3222222222222223</v>
      </c>
      <c r="AC111" t="n">
        <v>8</v>
      </c>
      <c r="AD111" t="inlineStr">
        <is>
          <t>CENTRO|OP-000110|20260220|P-500</t>
        </is>
      </c>
      <c r="AE111" t="n">
        <v>1</v>
      </c>
    </row>
    <row r="112">
      <c r="A112" t="n">
        <v>111</v>
      </c>
      <c r="B112" t="inlineStr">
        <is>
          <t>OP-000111</t>
        </is>
      </c>
      <c r="C112" s="12" t="n">
        <v>46080</v>
      </c>
      <c r="D112" s="13" t="n">
        <v>0.4270833333333333</v>
      </c>
      <c r="E112" t="inlineStr">
        <is>
          <t>C-0007</t>
        </is>
      </c>
      <c r="F112" t="inlineStr">
        <is>
          <t>Cliente 7</t>
        </is>
      </c>
      <c r="G112" t="inlineStr">
        <is>
          <t>P-100</t>
        </is>
      </c>
      <c r="H112" t="inlineStr">
        <is>
          <t>Monitor 24</t>
        </is>
      </c>
      <c r="I112" t="inlineStr">
        <is>
          <t>Tecnologia</t>
        </is>
      </c>
      <c r="J112" t="inlineStr">
        <is>
          <t>Sur</t>
        </is>
      </c>
      <c r="K112" t="inlineStr">
        <is>
          <t>SUC-08</t>
        </is>
      </c>
      <c r="L112" t="inlineStr">
        <is>
          <t>Digital</t>
        </is>
      </c>
      <c r="M112" t="inlineStr">
        <is>
          <t>En revision</t>
        </is>
      </c>
      <c r="N112" t="inlineStr">
        <is>
          <t>Baja</t>
        </is>
      </c>
      <c r="O112" t="n">
        <v>5</v>
      </c>
      <c r="P112" s="14" t="n">
        <v>3707</v>
      </c>
      <c r="Q112" s="15" t="n">
        <v>0.15</v>
      </c>
      <c r="R112" s="14" t="n">
        <v>2298.34</v>
      </c>
      <c r="S112" s="12" t="n">
        <v>46088</v>
      </c>
      <c r="T112" s="12" t="n">
        <v>46089</v>
      </c>
      <c r="U112" t="inlineStr">
        <is>
          <t>Resp 4</t>
        </is>
      </c>
      <c r="V112" t="inlineStr">
        <is>
          <t>archivo_04.csv</t>
        </is>
      </c>
      <c r="W112" s="14" t="n">
        <v>18535</v>
      </c>
      <c r="X112" s="14" t="n">
        <v>2780.25</v>
      </c>
      <c r="Y112" s="14" t="n">
        <v>15754.75</v>
      </c>
      <c r="Z112" s="14" t="n">
        <v>11491.7</v>
      </c>
      <c r="AA112" s="14" t="n">
        <v>4263.049999999999</v>
      </c>
      <c r="AB112" s="15" t="n">
        <v>0.2705882352941176</v>
      </c>
      <c r="AC112" t="n">
        <v>9</v>
      </c>
      <c r="AD112" t="inlineStr">
        <is>
          <t>SUR|OP-000111|20260227|P-100</t>
        </is>
      </c>
      <c r="AE112" t="n">
        <v>1</v>
      </c>
    </row>
    <row r="113">
      <c r="A113" t="n">
        <v>112</v>
      </c>
      <c r="B113" t="inlineStr">
        <is>
          <t>OP-000112</t>
        </is>
      </c>
      <c r="C113" s="12" t="n">
        <v>46087</v>
      </c>
      <c r="D113" s="13" t="n">
        <v>0.4722222222222222</v>
      </c>
      <c r="E113" t="inlineStr">
        <is>
          <t>C-0008</t>
        </is>
      </c>
      <c r="F113" t="inlineStr">
        <is>
          <t>Cliente 8</t>
        </is>
      </c>
      <c r="G113" t="inlineStr">
        <is>
          <t>P-200</t>
        </is>
      </c>
      <c r="H113" t="inlineStr">
        <is>
          <t>Teclado</t>
        </is>
      </c>
      <c r="I113" t="inlineStr">
        <is>
          <t>Tecnologia</t>
        </is>
      </c>
      <c r="J113" t="inlineStr">
        <is>
          <t>Pacifico</t>
        </is>
      </c>
      <c r="K113" t="inlineStr">
        <is>
          <t>SUC-01</t>
        </is>
      </c>
      <c r="L113" t="inlineStr">
        <is>
          <t>Tienda</t>
        </is>
      </c>
      <c r="M113" t="inlineStr">
        <is>
          <t>Aprobado</t>
        </is>
      </c>
      <c r="N113" t="inlineStr">
        <is>
          <t>Critica</t>
        </is>
      </c>
      <c r="O113" t="n">
        <v>8</v>
      </c>
      <c r="P113" s="14" t="n">
        <v>3844</v>
      </c>
      <c r="Q113" s="15" t="n">
        <v>0</v>
      </c>
      <c r="R113" s="14" t="n">
        <v>2114.2</v>
      </c>
      <c r="S113" s="12" t="n">
        <v>46096</v>
      </c>
      <c r="T113" s="12" t="n">
        <v>46097</v>
      </c>
      <c r="U113" t="inlineStr">
        <is>
          <t>Resp 5</t>
        </is>
      </c>
      <c r="V113" t="inlineStr">
        <is>
          <t>archivo_05.csv</t>
        </is>
      </c>
      <c r="W113" s="14" t="n">
        <v>30752</v>
      </c>
      <c r="X113" s="14" t="n">
        <v>0</v>
      </c>
      <c r="Y113" s="14" t="n">
        <v>30752</v>
      </c>
      <c r="Z113" s="14" t="n">
        <v>16913.6</v>
      </c>
      <c r="AA113" s="14" t="n">
        <v>13838.4</v>
      </c>
      <c r="AB113" s="15" t="n">
        <v>0.4500000000000001</v>
      </c>
      <c r="AC113" t="n">
        <v>10</v>
      </c>
      <c r="AD113" t="inlineStr">
        <is>
          <t>PACIFICO|OP-000112|20260306|P-200</t>
        </is>
      </c>
      <c r="AE113" t="n">
        <v>1</v>
      </c>
    </row>
    <row r="114">
      <c r="A114" t="n">
        <v>113</v>
      </c>
      <c r="B114" t="inlineStr">
        <is>
          <t>OP-000113</t>
        </is>
      </c>
      <c r="C114" s="12" t="n">
        <v>46094</v>
      </c>
      <c r="D114" s="13" t="n">
        <v>0.5173611111111112</v>
      </c>
      <c r="E114" t="inlineStr">
        <is>
          <t>C-0009</t>
        </is>
      </c>
      <c r="F114" t="inlineStr">
        <is>
          <t>Cliente 9</t>
        </is>
      </c>
      <c r="G114" t="inlineStr">
        <is>
          <t>P-300</t>
        </is>
      </c>
      <c r="H114" t="inlineStr">
        <is>
          <t>Mouse</t>
        </is>
      </c>
      <c r="I114" t="inlineStr">
        <is>
          <t>Tecnologia</t>
        </is>
      </c>
      <c r="J114" t="inlineStr">
        <is>
          <t>Norte</t>
        </is>
      </c>
      <c r="K114" t="inlineStr">
        <is>
          <t>SUC-02</t>
        </is>
      </c>
      <c r="L114" t="inlineStr">
        <is>
          <t>Distribuidor</t>
        </is>
      </c>
      <c r="M114" t="inlineStr">
        <is>
          <t>Pendiente</t>
        </is>
      </c>
      <c r="N114" t="inlineStr">
        <is>
          <t>Alta</t>
        </is>
      </c>
      <c r="O114" t="n">
        <v>11</v>
      </c>
      <c r="P114" s="14" t="n">
        <v>3981</v>
      </c>
      <c r="Q114" s="15" t="n">
        <v>0.05</v>
      </c>
      <c r="R114" s="14" t="n">
        <v>2229.36</v>
      </c>
      <c r="S114" s="12" t="n">
        <v>46104</v>
      </c>
      <c r="T114" s="12" t="n">
        <v>46105</v>
      </c>
      <c r="U114" t="inlineStr">
        <is>
          <t>Resp 6</t>
        </is>
      </c>
      <c r="V114" t="inlineStr">
        <is>
          <t>archivo_06.csv</t>
        </is>
      </c>
      <c r="W114" s="14" t="n">
        <v>43791</v>
      </c>
      <c r="X114" s="14" t="n">
        <v>2189.55</v>
      </c>
      <c r="Y114" s="14" t="n">
        <v>41601.45</v>
      </c>
      <c r="Z114" s="14" t="n">
        <v>24522.96</v>
      </c>
      <c r="AA114" s="14" t="n">
        <v>17078.48999999999</v>
      </c>
      <c r="AB114" s="15" t="n">
        <v>0.4105263157894736</v>
      </c>
      <c r="AC114" t="n">
        <v>11</v>
      </c>
      <c r="AD114" t="inlineStr">
        <is>
          <t>NORTE|OP-000113|20260313|P-300</t>
        </is>
      </c>
      <c r="AE114" t="n">
        <v>1</v>
      </c>
    </row>
    <row r="115">
      <c r="A115" t="n">
        <v>114</v>
      </c>
      <c r="B115" t="inlineStr">
        <is>
          <t>OP-000114</t>
        </is>
      </c>
      <c r="C115" s="12" t="n">
        <v>46101</v>
      </c>
      <c r="D115" s="13" t="n">
        <v>0.5625</v>
      </c>
      <c r="E115" t="inlineStr">
        <is>
          <t>C-0010</t>
        </is>
      </c>
      <c r="F115" t="inlineStr">
        <is>
          <t>Cliente 10</t>
        </is>
      </c>
      <c r="G115" t="inlineStr">
        <is>
          <t>P-400</t>
        </is>
      </c>
      <c r="H115" t="inlineStr">
        <is>
          <t>Laptop</t>
        </is>
      </c>
      <c r="I115" t="inlineStr">
        <is>
          <t>Tecnologia</t>
        </is>
      </c>
      <c r="J115" t="inlineStr">
        <is>
          <t>Centro</t>
        </is>
      </c>
      <c r="K115" t="inlineStr">
        <is>
          <t>SUC-03</t>
        </is>
      </c>
      <c r="L115" t="inlineStr">
        <is>
          <t>Digital</t>
        </is>
      </c>
      <c r="M115" t="inlineStr">
        <is>
          <t>Cancelado</t>
        </is>
      </c>
      <c r="N115" t="inlineStr">
        <is>
          <t>Media</t>
        </is>
      </c>
      <c r="O115" t="n">
        <v>14</v>
      </c>
      <c r="P115" s="14" t="n">
        <v>4118</v>
      </c>
      <c r="Q115" s="15" t="n">
        <v>0.1</v>
      </c>
      <c r="R115" s="14" t="n">
        <v>2347.26</v>
      </c>
      <c r="S115" s="12" t="n">
        <v>46112</v>
      </c>
      <c r="T115" s="12" t="n">
        <v>46113</v>
      </c>
      <c r="U115" t="inlineStr">
        <is>
          <t>Resp 7</t>
        </is>
      </c>
      <c r="V115" t="inlineStr">
        <is>
          <t>archivo_01.csv</t>
        </is>
      </c>
      <c r="W115" s="14" t="n">
        <v>57652</v>
      </c>
      <c r="X115" s="14" t="n">
        <v>5765.200000000001</v>
      </c>
      <c r="Y115" s="14" t="n">
        <v>51886.8</v>
      </c>
      <c r="Z115" s="14" t="n">
        <v>32861.64</v>
      </c>
      <c r="AA115" s="14" t="n">
        <v>19025.16</v>
      </c>
      <c r="AB115" s="15" t="n">
        <v>0.3666666666666667</v>
      </c>
      <c r="AC115" t="n">
        <v>12</v>
      </c>
      <c r="AD115" t="inlineStr">
        <is>
          <t>CENTRO|OP-000114|20260320|P-400</t>
        </is>
      </c>
      <c r="AE115" t="n">
        <v>1</v>
      </c>
    </row>
    <row r="116">
      <c r="A116" t="n">
        <v>115</v>
      </c>
      <c r="B116" t="inlineStr">
        <is>
          <t>OP-000115</t>
        </is>
      </c>
      <c r="C116" s="12" t="n">
        <v>46108</v>
      </c>
      <c r="D116" s="13" t="n">
        <v>0.6076388888888888</v>
      </c>
      <c r="E116" t="inlineStr">
        <is>
          <t>C-0011</t>
        </is>
      </c>
      <c r="F116" t="inlineStr">
        <is>
          <t>Cliente 11</t>
        </is>
      </c>
      <c r="G116" t="inlineStr">
        <is>
          <t>P-500</t>
        </is>
      </c>
      <c r="H116" t="inlineStr">
        <is>
          <t>Dock</t>
        </is>
      </c>
      <c r="I116" t="inlineStr">
        <is>
          <t>Tecnologia</t>
        </is>
      </c>
      <c r="J116" t="inlineStr">
        <is>
          <t>Sur</t>
        </is>
      </c>
      <c r="K116" t="inlineStr">
        <is>
          <t>SUC-04</t>
        </is>
      </c>
      <c r="L116" t="inlineStr">
        <is>
          <t>Tienda</t>
        </is>
      </c>
      <c r="M116" t="inlineStr">
        <is>
          <t>En revision</t>
        </is>
      </c>
      <c r="N116" t="inlineStr">
        <is>
          <t>Baja</t>
        </is>
      </c>
      <c r="O116" t="n">
        <v>17</v>
      </c>
      <c r="P116" s="14" t="n">
        <v>4255</v>
      </c>
      <c r="Q116" s="15" t="n">
        <v>0.15</v>
      </c>
      <c r="R116" s="14" t="n">
        <v>2467.9</v>
      </c>
      <c r="S116" s="12" t="n">
        <v>46120</v>
      </c>
      <c r="T116" s="12" t="n">
        <v>46121</v>
      </c>
      <c r="U116" t="inlineStr">
        <is>
          <t>Resp 8</t>
        </is>
      </c>
      <c r="V116" t="inlineStr">
        <is>
          <t>archivo_02.csv</t>
        </is>
      </c>
      <c r="W116" s="14" t="n">
        <v>72335</v>
      </c>
      <c r="X116" s="14" t="n">
        <v>10850.25</v>
      </c>
      <c r="Y116" s="14" t="n">
        <v>61484.75</v>
      </c>
      <c r="Z116" s="14" t="n">
        <v>41954.3</v>
      </c>
      <c r="AA116" s="14" t="n">
        <v>19530.45</v>
      </c>
      <c r="AB116" s="15" t="n">
        <v>0.3176470588235293</v>
      </c>
      <c r="AC116" t="n">
        <v>13</v>
      </c>
      <c r="AD116" t="inlineStr">
        <is>
          <t>SUR|OP-000115|20260327|P-500</t>
        </is>
      </c>
      <c r="AE116" t="n">
        <v>1</v>
      </c>
    </row>
    <row r="117">
      <c r="A117" t="n">
        <v>116</v>
      </c>
      <c r="B117" t="inlineStr">
        <is>
          <t>OP-000116</t>
        </is>
      </c>
      <c r="C117" s="12" t="n">
        <v>46115</v>
      </c>
      <c r="D117" s="13" t="n">
        <v>0.6527777777777778</v>
      </c>
      <c r="E117" t="inlineStr">
        <is>
          <t>C-0012</t>
        </is>
      </c>
      <c r="F117" t="inlineStr">
        <is>
          <t>Cliente 12</t>
        </is>
      </c>
      <c r="G117" t="inlineStr">
        <is>
          <t>P-100</t>
        </is>
      </c>
      <c r="H117" t="inlineStr">
        <is>
          <t>Monitor 24</t>
        </is>
      </c>
      <c r="I117" t="inlineStr">
        <is>
          <t>Tecnologia</t>
        </is>
      </c>
      <c r="J117" t="inlineStr">
        <is>
          <t>Pacifico</t>
        </is>
      </c>
      <c r="K117" t="inlineStr">
        <is>
          <t>SUC-05</t>
        </is>
      </c>
      <c r="L117" t="inlineStr">
        <is>
          <t>Distribuidor</t>
        </is>
      </c>
      <c r="M117" t="inlineStr">
        <is>
          <t>Aprobado</t>
        </is>
      </c>
      <c r="N117" t="inlineStr">
        <is>
          <t>Critica</t>
        </is>
      </c>
      <c r="O117" t="n">
        <v>20</v>
      </c>
      <c r="P117" s="14" t="n">
        <v>4392</v>
      </c>
      <c r="Q117" s="15" t="n">
        <v>0</v>
      </c>
      <c r="R117" s="14" t="n">
        <v>2591.28</v>
      </c>
      <c r="S117" s="12" t="n">
        <v>46128</v>
      </c>
      <c r="T117" s="12" t="n">
        <v>46129</v>
      </c>
      <c r="U117" t="inlineStr">
        <is>
          <t>Resp 9</t>
        </is>
      </c>
      <c r="V117" t="inlineStr">
        <is>
          <t>archivo_03.csv</t>
        </is>
      </c>
      <c r="W117" s="14" t="n">
        <v>87840</v>
      </c>
      <c r="X117" s="14" t="n">
        <v>0</v>
      </c>
      <c r="Y117" s="14" t="n">
        <v>87840</v>
      </c>
      <c r="Z117" s="14" t="n">
        <v>51825.60000000001</v>
      </c>
      <c r="AA117" s="14" t="n">
        <v>36014.39999999999</v>
      </c>
      <c r="AB117" s="15" t="n">
        <v>0.4099999999999999</v>
      </c>
      <c r="AC117" t="n">
        <v>14</v>
      </c>
      <c r="AD117" t="inlineStr">
        <is>
          <t>PACIFICO|OP-000116|20260403|P-100</t>
        </is>
      </c>
      <c r="AE117" t="n">
        <v>1</v>
      </c>
    </row>
    <row r="118">
      <c r="A118" t="n">
        <v>117</v>
      </c>
      <c r="B118" t="inlineStr">
        <is>
          <t>OP-000117</t>
        </is>
      </c>
      <c r="C118" s="12" t="n">
        <v>46122</v>
      </c>
      <c r="D118" s="13" t="n">
        <v>0.6979166666666666</v>
      </c>
      <c r="E118" t="inlineStr">
        <is>
          <t>C-0013</t>
        </is>
      </c>
      <c r="F118" t="inlineStr">
        <is>
          <t>Cliente 13</t>
        </is>
      </c>
      <c r="G118" t="inlineStr">
        <is>
          <t>P-200</t>
        </is>
      </c>
      <c r="H118" t="inlineStr">
        <is>
          <t>Teclado</t>
        </is>
      </c>
      <c r="I118" t="inlineStr">
        <is>
          <t>Tecnologia</t>
        </is>
      </c>
      <c r="J118" t="inlineStr">
        <is>
          <t>Norte</t>
        </is>
      </c>
      <c r="K118" t="inlineStr">
        <is>
          <t>SUC-06</t>
        </is>
      </c>
      <c r="L118" t="inlineStr">
        <is>
          <t>Digital</t>
        </is>
      </c>
      <c r="M118" t="inlineStr">
        <is>
          <t>Pendiente</t>
        </is>
      </c>
      <c r="N118" t="inlineStr">
        <is>
          <t>Alta</t>
        </is>
      </c>
      <c r="O118" t="n">
        <v>23</v>
      </c>
      <c r="P118" s="14" t="n">
        <v>4529</v>
      </c>
      <c r="Q118" s="15" t="n">
        <v>0.05</v>
      </c>
      <c r="R118" s="14" t="n">
        <v>2717.4</v>
      </c>
      <c r="S118" s="12" t="n">
        <v>46136</v>
      </c>
      <c r="T118" s="12" t="n">
        <v>46137</v>
      </c>
      <c r="U118" t="inlineStr">
        <is>
          <t>Resp 10</t>
        </is>
      </c>
      <c r="V118" t="inlineStr">
        <is>
          <t>archivo_04.csv</t>
        </is>
      </c>
      <c r="W118" s="14" t="n">
        <v>104167</v>
      </c>
      <c r="X118" s="14" t="n">
        <v>5208.35</v>
      </c>
      <c r="Y118" s="14" t="n">
        <v>98958.64999999999</v>
      </c>
      <c r="Z118" s="14" t="n">
        <v>62500.2</v>
      </c>
      <c r="AA118" s="14" t="n">
        <v>36458.44999999999</v>
      </c>
      <c r="AB118" s="15" t="n">
        <v>0.3684210526315789</v>
      </c>
      <c r="AC118" t="n">
        <v>15</v>
      </c>
      <c r="AD118" t="inlineStr">
        <is>
          <t>NORTE|OP-000117|20260410|P-200</t>
        </is>
      </c>
      <c r="AE118" t="n">
        <v>1</v>
      </c>
    </row>
    <row r="119">
      <c r="A119" t="n">
        <v>118</v>
      </c>
      <c r="B119" t="inlineStr">
        <is>
          <t>OP-000118</t>
        </is>
      </c>
      <c r="C119" s="12" t="n">
        <v>46129</v>
      </c>
      <c r="D119" s="13" t="n">
        <v>0.7430555555555556</v>
      </c>
      <c r="E119" t="inlineStr">
        <is>
          <t>C-0014</t>
        </is>
      </c>
      <c r="F119" t="inlineStr">
        <is>
          <t>Cliente 14</t>
        </is>
      </c>
      <c r="G119" t="inlineStr">
        <is>
          <t>P-300</t>
        </is>
      </c>
      <c r="H119" t="inlineStr">
        <is>
          <t>Mouse</t>
        </is>
      </c>
      <c r="I119" t="inlineStr">
        <is>
          <t>Tecnologia</t>
        </is>
      </c>
      <c r="J119" t="inlineStr">
        <is>
          <t>Centro</t>
        </is>
      </c>
      <c r="K119" t="inlineStr">
        <is>
          <t>SUC-07</t>
        </is>
      </c>
      <c r="L119" t="inlineStr">
        <is>
          <t>Tienda</t>
        </is>
      </c>
      <c r="M119" t="inlineStr">
        <is>
          <t>Cancelado</t>
        </is>
      </c>
      <c r="N119" t="inlineStr">
        <is>
          <t>Media</t>
        </is>
      </c>
      <c r="O119" t="n">
        <v>26</v>
      </c>
      <c r="P119" s="14" t="n">
        <v>4666</v>
      </c>
      <c r="Q119" s="15" t="n">
        <v>0.1</v>
      </c>
      <c r="R119" s="14" t="n">
        <v>2846.26</v>
      </c>
      <c r="S119" s="12" t="n">
        <v>46144</v>
      </c>
      <c r="T119" s="12" t="n">
        <v>46145</v>
      </c>
      <c r="U119" t="inlineStr">
        <is>
          <t>Resp 11</t>
        </is>
      </c>
      <c r="V119" t="inlineStr">
        <is>
          <t>archivo_05.csv</t>
        </is>
      </c>
      <c r="W119" s="14" t="n">
        <v>121316</v>
      </c>
      <c r="X119" s="14" t="n">
        <v>12131.6</v>
      </c>
      <c r="Y119" s="14" t="n">
        <v>109184.4</v>
      </c>
      <c r="Z119" s="14" t="n">
        <v>74002.76000000001</v>
      </c>
      <c r="AA119" s="14" t="n">
        <v>35181.63999999998</v>
      </c>
      <c r="AB119" s="15" t="n">
        <v>0.3222222222222221</v>
      </c>
      <c r="AC119" t="n">
        <v>16</v>
      </c>
      <c r="AD119" t="inlineStr">
        <is>
          <t>CENTRO|OP-000118|20260417|P-300</t>
        </is>
      </c>
      <c r="AE119" t="n">
        <v>1</v>
      </c>
    </row>
    <row r="120">
      <c r="A120" t="n">
        <v>119</v>
      </c>
      <c r="B120" t="inlineStr">
        <is>
          <t>OP-000119</t>
        </is>
      </c>
      <c r="C120" s="12" t="n">
        <v>46136</v>
      </c>
      <c r="D120" s="13" t="n">
        <v>0.7881944444444444</v>
      </c>
      <c r="E120" t="inlineStr">
        <is>
          <t>C-0015</t>
        </is>
      </c>
      <c r="F120" t="inlineStr">
        <is>
          <t>Cliente 15</t>
        </is>
      </c>
      <c r="G120" t="inlineStr">
        <is>
          <t>P-400</t>
        </is>
      </c>
      <c r="H120" t="inlineStr">
        <is>
          <t>Laptop</t>
        </is>
      </c>
      <c r="I120" t="inlineStr">
        <is>
          <t>Tecnologia</t>
        </is>
      </c>
      <c r="J120" t="inlineStr">
        <is>
          <t>Sur</t>
        </is>
      </c>
      <c r="K120" t="inlineStr">
        <is>
          <t>SUC-08</t>
        </is>
      </c>
      <c r="L120" t="inlineStr">
        <is>
          <t>Distribuidor</t>
        </is>
      </c>
      <c r="M120" t="inlineStr">
        <is>
          <t>En revision</t>
        </is>
      </c>
      <c r="N120" t="inlineStr">
        <is>
          <t>Baja</t>
        </is>
      </c>
      <c r="O120" t="n">
        <v>29</v>
      </c>
      <c r="P120" s="14" t="n">
        <v>4803</v>
      </c>
      <c r="Q120" s="15" t="n">
        <v>0.15</v>
      </c>
      <c r="R120" s="14" t="n">
        <v>2977.86</v>
      </c>
      <c r="S120" s="12" t="n">
        <v>46152</v>
      </c>
      <c r="T120" s="12" t="n">
        <v>46153</v>
      </c>
      <c r="U120" t="inlineStr">
        <is>
          <t>Resp 12</t>
        </is>
      </c>
      <c r="V120" t="inlineStr">
        <is>
          <t>archivo_06.csv</t>
        </is>
      </c>
      <c r="W120" s="14" t="n">
        <v>139287</v>
      </c>
      <c r="X120" s="14" t="n">
        <v>20893.05</v>
      </c>
      <c r="Y120" s="14" t="n">
        <v>118393.95</v>
      </c>
      <c r="Z120" s="14" t="n">
        <v>86357.94</v>
      </c>
      <c r="AA120" s="14" t="n">
        <v>32036.00999999999</v>
      </c>
      <c r="AB120" s="15" t="n">
        <v>0.2705882352941176</v>
      </c>
      <c r="AC120" t="n">
        <v>17</v>
      </c>
      <c r="AD120" t="inlineStr">
        <is>
          <t>SUR|OP-000119|20260424|P-400</t>
        </is>
      </c>
      <c r="AE120" t="n">
        <v>1</v>
      </c>
    </row>
    <row r="121">
      <c r="A121" t="n">
        <v>120</v>
      </c>
      <c r="B121" t="inlineStr">
        <is>
          <t>OP-000120</t>
        </is>
      </c>
      <c r="C121" s="12" t="n">
        <v>46143</v>
      </c>
      <c r="D121" s="13" t="n">
        <v>0.2916666666666667</v>
      </c>
      <c r="E121" t="inlineStr">
        <is>
          <t>C-0016</t>
        </is>
      </c>
      <c r="F121" t="inlineStr">
        <is>
          <t>Cliente 16</t>
        </is>
      </c>
      <c r="G121" t="inlineStr">
        <is>
          <t>P-500</t>
        </is>
      </c>
      <c r="H121" t="inlineStr">
        <is>
          <t>Dock</t>
        </is>
      </c>
      <c r="I121" t="inlineStr">
        <is>
          <t>Tecnologia</t>
        </is>
      </c>
      <c r="J121" t="inlineStr">
        <is>
          <t>Pacifico</t>
        </is>
      </c>
      <c r="K121" t="inlineStr">
        <is>
          <t>SUC-01</t>
        </is>
      </c>
      <c r="L121" t="inlineStr">
        <is>
          <t>Digital</t>
        </is>
      </c>
      <c r="M121" t="inlineStr">
        <is>
          <t>Aprobado</t>
        </is>
      </c>
      <c r="N121" t="inlineStr">
        <is>
          <t>Critica</t>
        </is>
      </c>
      <c r="O121" t="n">
        <v>32</v>
      </c>
      <c r="P121" s="14" t="n">
        <v>4940</v>
      </c>
      <c r="Q121" s="15" t="n">
        <v>0</v>
      </c>
      <c r="R121" s="14" t="n">
        <v>2717</v>
      </c>
      <c r="S121" s="12" t="n">
        <v>46150</v>
      </c>
      <c r="T121" s="12" t="n">
        <v>46146</v>
      </c>
      <c r="U121" t="inlineStr">
        <is>
          <t>Resp 1</t>
        </is>
      </c>
      <c r="V121" t="inlineStr">
        <is>
          <t>archivo_01.csv</t>
        </is>
      </c>
      <c r="W121" s="14" t="n">
        <v>158080</v>
      </c>
      <c r="X121" s="14" t="n">
        <v>0</v>
      </c>
      <c r="Y121" s="14" t="n">
        <v>158080</v>
      </c>
      <c r="Z121" s="14" t="n">
        <v>86944</v>
      </c>
      <c r="AA121" s="14" t="n">
        <v>71136</v>
      </c>
      <c r="AB121" s="15" t="n">
        <v>0.45</v>
      </c>
      <c r="AC121" t="n">
        <v>3</v>
      </c>
      <c r="AD121" t="inlineStr">
        <is>
          <t>PACIFICO|OP-000120|20260501|P-500</t>
        </is>
      </c>
      <c r="AE121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38" customWidth="1" min="3" max="3"/>
    <col width="32" customWidth="1" min="4" max="4"/>
    <col width="34" customWidth="1" min="5" max="5"/>
    <col width="16" customWidth="1" min="6" max="6"/>
  </cols>
  <sheetData>
    <row r="1" ht="24" customHeight="1">
      <c r="A1" s="1" t="inlineStr">
        <is>
          <t>Matriz de hallazgos</t>
        </is>
      </c>
    </row>
    <row r="2">
      <c r="A2" t="inlineStr">
        <is>
          <t>ID</t>
        </is>
      </c>
      <c r="B2" t="inlineStr">
        <is>
          <t>Area</t>
        </is>
      </c>
      <c r="C2" t="inlineStr">
        <is>
          <t>Hallazgo</t>
        </is>
      </c>
      <c r="D2" t="inlineStr">
        <is>
          <t>Impacto</t>
        </is>
      </c>
      <c r="E2" t="inlineStr">
        <is>
          <t>Accion</t>
        </is>
      </c>
      <c r="F2" t="inlineStr">
        <is>
          <t>Estado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  <row r="4">
      <c r="A4" t="inlineStr">
        <is>
          <t>H-001</t>
        </is>
      </c>
      <c r="B4" t="inlineStr">
        <is>
          <t>Estructura</t>
        </is>
      </c>
      <c r="C4" t="inlineStr">
        <is>
          <t>Ultima fila fuera de tabla</t>
        </is>
      </c>
      <c r="D4" t="inlineStr">
        <is>
          <t>Registro omitido</t>
        </is>
      </c>
      <c r="E4" t="inlineStr">
        <is>
          <t>Ampliar tabla</t>
        </is>
      </c>
      <c r="F4" t="inlineStr">
        <is>
          <t>Pendiente</t>
        </is>
      </c>
    </row>
    <row r="5">
      <c r="A5" t="inlineStr">
        <is>
          <t>H-002</t>
        </is>
      </c>
      <c r="B5" t="inlineStr">
        <is>
          <t>Tipo</t>
        </is>
      </c>
      <c r="C5" t="inlineStr">
        <is>
          <t>Numero almacenado como texto</t>
        </is>
      </c>
      <c r="D5" t="inlineStr">
        <is>
          <t>Calculo o filtro incompleto</t>
        </is>
      </c>
      <c r="E5" t="inlineStr">
        <is>
          <t>Normalizar en auxiliar</t>
        </is>
      </c>
      <c r="F5" t="inlineStr">
        <is>
          <t>Pendiente</t>
        </is>
      </c>
    </row>
    <row r="6">
      <c r="A6" t="inlineStr">
        <is>
          <t>H-003</t>
        </is>
      </c>
      <c r="B6" t="inlineStr">
        <is>
          <t>Formula</t>
        </is>
      </c>
      <c r="C6" t="inlineStr">
        <is>
          <t>Formula reemplazada por valor</t>
        </is>
      </c>
      <c r="D6" t="inlineStr">
        <is>
          <t>Resultado inconsistente</t>
        </is>
      </c>
      <c r="E6" t="inlineStr">
        <is>
          <t>Restaurar formula</t>
        </is>
      </c>
      <c r="F6" t="inlineStr">
        <is>
          <t>Pendiente</t>
        </is>
      </c>
    </row>
    <row r="7">
      <c r="A7" t="inlineStr">
        <is>
          <t>H-004</t>
        </is>
      </c>
      <c r="B7" t="inlineStr">
        <is>
          <t>Visibilidad</t>
        </is>
      </c>
      <c r="C7" t="inlineStr">
        <is>
          <t>Filtro no documentado</t>
        </is>
      </c>
      <c r="D7" t="inlineStr">
        <is>
          <t>Vista parcial</t>
        </is>
      </c>
      <c r="E7" t="inlineStr">
        <is>
          <t>Borrar o documentar</t>
        </is>
      </c>
      <c r="F7" t="inlineStr">
        <is>
          <t>Pendiente</t>
        </is>
      </c>
    </row>
    <row r="8">
      <c r="A8" t="inlineStr">
        <is>
          <t>H-005</t>
        </is>
      </c>
      <c r="B8" t="inlineStr">
        <is>
          <t>Duplicidad</t>
        </is>
      </c>
      <c r="C8" t="inlineStr">
        <is>
          <t>Clave insuficiente</t>
        </is>
      </c>
      <c r="D8" t="inlineStr">
        <is>
          <t>Falsos positivos</t>
        </is>
      </c>
      <c r="E8" t="inlineStr">
        <is>
          <t>Aplicar clave autorizada</t>
        </is>
      </c>
      <c r="F8" t="inlineStr">
        <is>
          <t>Pendiente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42" customWidth="1" min="3" max="3"/>
  </cols>
  <sheetData>
    <row r="1" ht="24" customHeight="1">
      <c r="A1" s="1" t="inlineStr">
        <is>
          <t>Control final</t>
        </is>
      </c>
    </row>
    <row r="2">
      <c r="A2" t="inlineStr">
        <is>
          <t>Indicador</t>
        </is>
      </c>
      <c r="B2" t="inlineStr">
        <is>
          <t>Resultado</t>
        </is>
      </c>
      <c r="C2" t="inlineStr">
        <is>
          <t>Criterio</t>
        </is>
      </c>
    </row>
    <row r="3">
      <c r="A3" s="16" t="n"/>
      <c r="B3" s="16" t="n"/>
      <c r="C3" s="16" t="n"/>
      <c r="D3" s="16" t="n"/>
      <c r="E3" s="16" t="n"/>
      <c r="F3" s="16" t="n"/>
      <c r="G3" s="16" t="n"/>
      <c r="H3" s="16" t="n"/>
    </row>
    <row r="4">
      <c r="A4" t="inlineStr">
        <is>
          <t>Registros esperados</t>
        </is>
      </c>
      <c r="B4" t="n">
        <v>120</v>
      </c>
    </row>
    <row r="5">
      <c r="A5" t="inlineStr">
        <is>
          <t>Registros obtenidos</t>
        </is>
      </c>
      <c r="B5" t="inlineStr"/>
    </row>
    <row r="6">
      <c r="A6" t="inlineStr">
        <is>
          <t>Venta esperada</t>
        </is>
      </c>
      <c r="B6" s="14">
        <f>SUM(03_Operaciones!Y2:Y1048576)</f>
        <v/>
      </c>
    </row>
    <row r="7">
      <c r="A7" t="inlineStr">
        <is>
          <t>Venta obtenida</t>
        </is>
      </c>
      <c r="B7" s="14" t="inlineStr"/>
    </row>
    <row r="8">
      <c r="A8" t="inlineStr">
        <is>
          <t>Utilidad esperada</t>
        </is>
      </c>
      <c r="B8" s="14">
        <f>SUM(03_Operaciones!AA2:AA1048576)</f>
        <v/>
      </c>
    </row>
    <row r="9">
      <c r="A9" t="inlineStr">
        <is>
          <t>Utilidad obtenida</t>
        </is>
      </c>
      <c r="B9" s="14" t="inlineStr"/>
    </row>
    <row r="10">
      <c r="A10" t="inlineStr">
        <is>
          <t>Filtros activos</t>
        </is>
      </c>
      <c r="B10" t="n">
        <v>0</v>
      </c>
    </row>
    <row r="11">
      <c r="A11" t="inlineStr">
        <is>
          <t>Filas ocultas</t>
        </is>
      </c>
      <c r="B11" t="n">
        <v>0</v>
      </c>
    </row>
    <row r="12">
      <c r="A12" t="inlineStr">
        <is>
          <t>Errores criticos</t>
        </is>
      </c>
      <c r="B12" t="n">
        <v>0</v>
      </c>
    </row>
    <row r="13">
      <c r="A13" t="inlineStr">
        <is>
          <t>Casos totales</t>
        </is>
      </c>
      <c r="B13" t="n">
        <v>8</v>
      </c>
    </row>
    <row r="14">
      <c r="A14" t="inlineStr">
        <is>
          <t>Casos superados</t>
        </is>
      </c>
      <c r="B14" t="n">
        <v>0</v>
      </c>
    </row>
    <row r="15">
      <c r="A15" t="inlineStr">
        <is>
          <t>Diferencia registros</t>
        </is>
      </c>
      <c r="B15" s="10">
        <f>B4-B5</f>
        <v/>
      </c>
    </row>
    <row r="16">
      <c r="A16" t="inlineStr">
        <is>
          <t>Diferencia venta</t>
        </is>
      </c>
      <c r="B16" s="17">
        <f>B6-B7</f>
        <v/>
      </c>
    </row>
    <row r="17">
      <c r="A17" t="inlineStr">
        <is>
          <t>Diferencia utilidad</t>
        </is>
      </c>
      <c r="B17" s="17">
        <f>B8-B9</f>
        <v/>
      </c>
    </row>
    <row r="18">
      <c r="A18" t="inlineStr">
        <is>
          <t>Estado final</t>
        </is>
      </c>
      <c r="B18" s="10">
        <f>IF(AND(B15=0,B16=0,B17=0,B12=0,B14=B13),"APROBADO","REVISION REQUERIDA")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2026-09-04T01:45:56Z</dcterms:created>
  <dcterms:modified xmlns:dcterms="http://purl.org/dc/terms/" xmlns:xsi="http://www.w3.org/2001/XMLSchema-instance" xsi:type="dcterms:W3CDTF">2026-09-04T01:45:56Z</dcterms:modified>
</cp:coreProperties>
</file>