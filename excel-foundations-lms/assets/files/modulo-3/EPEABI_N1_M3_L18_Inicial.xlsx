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Leeme" sheetId="1" state="visible" r:id="rId1"/>
    <sheet xmlns:r="http://schemas.openxmlformats.org/officeDocument/2006/relationships" name="02_Parametros" sheetId="2" state="visible" r:id="rId2"/>
    <sheet xmlns:r="http://schemas.openxmlformats.org/officeDocument/2006/relationships" name="01_Tareas" sheetId="3" state="visible" r:id="rId3"/>
    <sheet xmlns:r="http://schemas.openxmlformats.org/officeDocument/2006/relationships" name="03_Operaciones" sheetId="4" state="visible" r:id="rId4"/>
    <sheet xmlns:r="http://schemas.openxmlformats.org/officeDocument/2006/relationships" name="10_Auditoria" sheetId="5" state="visible" r:id="rId5"/>
    <sheet xmlns:r="http://schemas.openxmlformats.org/officeDocument/2006/relationships" name="12_Control_Final" sheetId="6" state="visible" r:id="rId6"/>
    <sheet xmlns:r="http://schemas.openxmlformats.org/officeDocument/2006/relationships" name="05_Panel" sheetId="7" state="visible" r:id="rId7"/>
    <sheet xmlns:r="http://schemas.openxmlformats.org/officeDocument/2006/relationships" name="06_Criterios" sheetId="8" state="visible" r:id="rId8"/>
    <sheet xmlns:r="http://schemas.openxmlformats.org/officeDocument/2006/relationships" name="08_Duplicados" sheetId="9" state="visible" r:id="rId9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0.0%"/>
    <numFmt numFmtId="166" formatCode="dd/mm/yyyy"/>
    <numFmt numFmtId="167" formatCode="hh:mm"/>
    <numFmt numFmtId="168" formatCode="$#,##0.00;[Red]($#,##0.00);-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  <color rgb="00666666"/>
      <sz val="10"/>
    </font>
    <font>
      <b val="1"/>
      <color rgb="0017365D"/>
    </font>
    <font>
      <b val="1"/>
      <color rgb="00FFFFFF"/>
    </font>
    <font>
      <color rgb="000000FF"/>
    </font>
    <font>
      <color rgb="00808080"/>
    </font>
    <font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4B183"/>
      </patternFill>
    </fill>
    <fill>
      <patternFill patternType="solid">
        <fgColor rgb="00E4DF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2" fillId="0" borderId="0" pivotButton="0" quotePrefix="0" xfId="0"/>
    <xf numFmtId="0" fontId="3" fillId="3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166" fontId="5" fillId="0" borderId="0" pivotButton="0" quotePrefix="0" xfId="0"/>
    <xf numFmtId="167" fontId="5" fillId="0" borderId="0" pivotButton="0" quotePrefix="0" xfId="0"/>
    <xf numFmtId="0" fontId="0" fillId="4" borderId="0" pivotButton="0" quotePrefix="0" xfId="0"/>
    <xf numFmtId="0" fontId="4" fillId="2" borderId="0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8" fontId="0" fillId="0" borderId="0" pivotButton="0" quotePrefix="0" xfId="0"/>
    <xf numFmtId="165" fontId="0" fillId="0" borderId="0" pivotButton="0" quotePrefix="0" xfId="0"/>
    <xf numFmtId="0" fontId="7" fillId="5" borderId="0" pivotButton="0" quotePrefix="0" xfId="0"/>
    <xf numFmtId="168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tblOperacionesL18" displayName="tblOperacionesL18" ref="A1:AE244" headerRowCount="1">
  <autoFilter ref="A1:AE244"/>
  <tableColumns count="31">
    <tableColumn id="1" name="Orden_Original"/>
    <tableColumn id="2" name="Folio"/>
    <tableColumn id="3" name="Fecha_Operacion"/>
    <tableColumn id="4" name="Hora_Operacion"/>
    <tableColumn id="5" name="Codigo_Cliente"/>
    <tableColumn id="6" name="Cliente"/>
    <tableColumn id="7" name="Codigo_Producto"/>
    <tableColumn id="8" name="Producto"/>
    <tableColumn id="9" name="Categoria"/>
    <tableColumn id="10" name="Region"/>
    <tableColumn id="11" name="Sucursal"/>
    <tableColumn id="12" name="Canal"/>
    <tableColumn id="13" name="Estado"/>
    <tableColumn id="14" name="Prioridad"/>
    <tableColumn id="15" name="Cantidad"/>
    <tableColumn id="16" name="Precio_Unitario"/>
    <tableColumn id="17" name="Porcentaje_Descuento"/>
    <tableColumn id="18" name="Costo_Unitario"/>
    <tableColumn id="19" name="Fecha_Compromiso"/>
    <tableColumn id="20" name="Fecha_Entrega"/>
    <tableColumn id="21" name="Responsable"/>
    <tableColumn id="22" name="Archivo_Origen"/>
    <tableColumn id="23" name="Importe_Bruto"/>
    <tableColumn id="24" name="Importe_Descuento"/>
    <tableColumn id="25" name="Venta_Neta"/>
    <tableColumn id="26" name="Costo_Total"/>
    <tableColumn id="27" name="Utilidad"/>
    <tableColumn id="28" name="Margen"/>
    <tableColumn id="29" name="Dias_Atraso"/>
    <tableColumn id="30" name="Clave_Duplicado"/>
    <tableColumn id="31" name="Conteo_Clave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 ht="24" customHeight="1">
      <c r="A1" s="1" t="inlineStr">
        <is>
          <t>EPEABI | Modulo 3 | Leccion 18</t>
        </is>
      </c>
    </row>
    <row r="2">
      <c r="A2" s="2" t="inlineStr">
        <is>
          <t>Evaluacion final y reto profesional del Modulo 3</t>
        </is>
      </c>
    </row>
    <row r="4">
      <c r="A4" s="3" t="inlineStr">
        <is>
          <t>Tipo de archivo</t>
        </is>
      </c>
      <c r="B4" t="inlineStr">
        <is>
          <t>Archivo inicial</t>
        </is>
      </c>
    </row>
    <row r="5">
      <c r="A5" s="3" t="inlineStr">
        <is>
          <t>Objetivo</t>
        </is>
      </c>
      <c r="B5" t="inlineStr">
        <is>
          <t>Evaluacion final y reto profesional del Modulo 3</t>
        </is>
      </c>
    </row>
    <row r="6">
      <c r="A6" s="3" t="inlineStr">
        <is>
          <t>Instruccion</t>
        </is>
      </c>
      <c r="B6" t="inlineStr">
        <is>
          <t>Trabaje solo en las hojas autorizadas y conserve la evidencia.</t>
        </is>
      </c>
    </row>
    <row r="7">
      <c r="A7" s="3" t="inlineStr">
        <is>
          <t>Criterio de exito</t>
        </is>
      </c>
      <c r="B7" t="inlineStr">
        <is>
          <t>Complete las tareas, documente hallazgos y obtenga diferencias iguales a cero.</t>
        </is>
      </c>
    </row>
    <row r="8">
      <c r="A8" s="3" t="inlineStr">
        <is>
          <t>Aviso</t>
        </is>
      </c>
      <c r="B8" t="inlineStr">
        <is>
          <t>Material academico independiente con enfoque de preparacion basada en desempeno.</t>
        </is>
      </c>
    </row>
    <row r="9">
      <c r="A9" s="3" t="inlineStr">
        <is>
          <t>Version</t>
        </is>
      </c>
      <c r="B9" t="inlineStr">
        <is>
          <t>1.0</t>
        </is>
      </c>
    </row>
    <row r="10">
      <c r="A10" s="3" t="inlineStr">
        <is>
          <t>Fecha</t>
        </is>
      </c>
      <c r="B10" t="inlineStr">
        <is>
          <t>Septiembre de 2026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18" customWidth="1" min="4" max="4"/>
  </cols>
  <sheetData>
    <row r="1" ht="24" customHeight="1">
      <c r="A1" s="1" t="inlineStr">
        <is>
          <t>Parametros del ejercicio</t>
        </is>
      </c>
    </row>
    <row r="2">
      <c r="A2" t="inlineStr">
        <is>
          <t>Parametro</t>
        </is>
      </c>
      <c r="B2" t="inlineStr">
        <is>
          <t>Valor</t>
        </is>
      </c>
      <c r="C2" t="inlineStr">
        <is>
          <t>Unidad</t>
        </is>
      </c>
      <c r="D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Venta_Minima</t>
        </is>
      </c>
      <c r="B4" s="5" t="n">
        <v>50000</v>
      </c>
      <c r="C4" t="inlineStr">
        <is>
          <t>MXN</t>
        </is>
      </c>
      <c r="D4" s="6" t="inlineStr">
        <is>
          <t>Autorizado</t>
        </is>
      </c>
    </row>
    <row r="5">
      <c r="A5" t="inlineStr">
        <is>
          <t>Venta_Maxima</t>
        </is>
      </c>
      <c r="B5" s="5" t="n">
        <v>75000</v>
      </c>
      <c r="C5" t="inlineStr">
        <is>
          <t>MXN</t>
        </is>
      </c>
      <c r="D5" s="6" t="inlineStr">
        <is>
          <t>Autorizado</t>
        </is>
      </c>
    </row>
    <row r="6">
      <c r="A6" t="inlineStr">
        <is>
          <t>Margen_Minimo</t>
        </is>
      </c>
      <c r="B6" s="7" t="n">
        <v>0.15</v>
      </c>
      <c r="C6" t="inlineStr">
        <is>
          <t>%</t>
        </is>
      </c>
      <c r="D6" s="6" t="inlineStr">
        <is>
          <t>Autorizado</t>
        </is>
      </c>
    </row>
    <row r="7">
      <c r="A7" t="inlineStr">
        <is>
          <t>Descuento_Maximo</t>
        </is>
      </c>
      <c r="B7" s="7" t="n">
        <v>0.15</v>
      </c>
      <c r="C7" t="inlineStr">
        <is>
          <t>%</t>
        </is>
      </c>
      <c r="D7" s="6" t="inlineStr">
        <is>
          <t>Autorizado</t>
        </is>
      </c>
    </row>
    <row r="8">
      <c r="A8" t="inlineStr">
        <is>
          <t>Dias_Atraso_Maximo</t>
        </is>
      </c>
      <c r="B8" s="5" t="n">
        <v>30</v>
      </c>
      <c r="C8" t="inlineStr">
        <is>
          <t>dias</t>
        </is>
      </c>
      <c r="D8" s="6" t="inlineStr">
        <is>
          <t>Autorizado</t>
        </is>
      </c>
    </row>
    <row r="9">
      <c r="A9" t="inlineStr">
        <is>
          <t>Fecha_Inicial</t>
        </is>
      </c>
      <c r="B9" s="8" t="n">
        <v>46235</v>
      </c>
      <c r="C9" t="inlineStr">
        <is>
          <t>fecha</t>
        </is>
      </c>
      <c r="D9" s="6" t="inlineStr">
        <is>
          <t>Autorizado</t>
        </is>
      </c>
    </row>
    <row r="10">
      <c r="A10" t="inlineStr">
        <is>
          <t>Fecha_Final</t>
        </is>
      </c>
      <c r="B10" s="8" t="n">
        <v>46265</v>
      </c>
      <c r="C10" t="inlineStr">
        <is>
          <t>fecha</t>
        </is>
      </c>
      <c r="D10" s="6" t="inlineStr">
        <is>
          <t>Autorizado</t>
        </is>
      </c>
    </row>
    <row r="11">
      <c r="A11" t="inlineStr">
        <is>
          <t>Fecha_Corte</t>
        </is>
      </c>
      <c r="B11" s="8" t="n">
        <v>46266</v>
      </c>
      <c r="C11" t="inlineStr">
        <is>
          <t>fecha</t>
        </is>
      </c>
      <c r="D11" s="6" t="inlineStr">
        <is>
          <t>Autorizado</t>
        </is>
      </c>
    </row>
    <row r="12">
      <c r="A12" t="inlineStr">
        <is>
          <t>Hora_Inicial</t>
        </is>
      </c>
      <c r="B12" s="9" t="n">
        <v>0.3333333333333333</v>
      </c>
      <c r="C12" t="inlineStr">
        <is>
          <t>hora</t>
        </is>
      </c>
      <c r="D12" s="6" t="inlineStr">
        <is>
          <t>Autorizado</t>
        </is>
      </c>
    </row>
    <row r="13">
      <c r="A13" t="inlineStr">
        <is>
          <t>Hora_Final</t>
        </is>
      </c>
      <c r="B13" s="9" t="n">
        <v>0.75</v>
      </c>
      <c r="C13" t="inlineStr">
        <is>
          <t>hora</t>
        </is>
      </c>
      <c r="D13" s="6" t="inlineStr">
        <is>
          <t>Autorizado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72" customWidth="1" min="2" max="2"/>
    <col width="30" customWidth="1" min="3" max="3"/>
    <col width="16" customWidth="1" min="4" max="4"/>
    <col width="12" customWidth="1" min="5" max="5"/>
  </cols>
  <sheetData>
    <row r="1" ht="24" customHeight="1">
      <c r="A1" s="1" t="inlineStr">
        <is>
          <t>Tareas | Leccion 18</t>
        </is>
      </c>
    </row>
    <row r="2">
      <c r="A2" s="2" t="inlineStr">
        <is>
          <t>Evaluacion final y reto profesional del Modulo 3</t>
        </is>
      </c>
    </row>
    <row r="3">
      <c r="A3" s="4" t="inlineStr">
        <is>
          <t>ID</t>
        </is>
      </c>
      <c r="B3" s="4" t="inlineStr">
        <is>
          <t>Tarea</t>
        </is>
      </c>
      <c r="C3" s="4" t="inlineStr">
        <is>
          <t>Evidencia requerida</t>
        </is>
      </c>
      <c r="D3" s="4" t="inlineStr">
        <is>
          <t>Estado</t>
        </is>
      </c>
      <c r="E3" s="4" t="inlineStr">
        <is>
          <t>Puntos</t>
        </is>
      </c>
      <c r="F3" s="4" t="n"/>
      <c r="G3" s="4" t="n"/>
      <c r="H3" s="4" t="n"/>
    </row>
    <row r="4">
      <c r="A4" t="inlineStr">
        <is>
          <t>T-01</t>
        </is>
      </c>
      <c r="B4" t="inlineStr">
        <is>
          <t>Preserve 01_Original y trabaje en la copia autorizada.</t>
        </is>
      </c>
      <c r="C4" t="inlineStr">
        <is>
          <t>Captura, formula o registro</t>
        </is>
      </c>
      <c r="D4" s="10" t="inlineStr">
        <is>
          <t>Pendiente</t>
        </is>
      </c>
      <c r="E4" t="n">
        <v>12.5</v>
      </c>
    </row>
    <row r="5">
      <c r="A5" t="inlineStr">
        <is>
          <t>T-02</t>
        </is>
      </c>
      <c r="B5" t="inlineStr">
        <is>
          <t>Compruebe encabezados, filtros, filas ocultas y ultima fila.</t>
        </is>
      </c>
      <c r="C5" t="inlineStr">
        <is>
          <t>Captura, formula o registro</t>
        </is>
      </c>
      <c r="D5" s="10" t="inlineStr">
        <is>
          <t>Pendiente</t>
        </is>
      </c>
      <c r="E5" t="n">
        <v>12.5</v>
      </c>
    </row>
    <row r="6">
      <c r="A6" t="inlineStr">
        <is>
          <t>T-03</t>
        </is>
      </c>
      <c r="B6" t="inlineStr">
        <is>
          <t>Registre controles iniciales y finales.</t>
        </is>
      </c>
      <c r="C6" t="inlineStr">
        <is>
          <t>Captura, formula o registro</t>
        </is>
      </c>
      <c r="D6" s="10" t="inlineStr">
        <is>
          <t>Pendiente</t>
        </is>
      </c>
      <c r="E6" t="n">
        <v>12.5</v>
      </c>
    </row>
    <row r="7">
      <c r="A7" t="inlineStr">
        <is>
          <t>T-04</t>
        </is>
      </c>
      <c r="B7" t="inlineStr">
        <is>
          <t>Complete evaluacion, reto y simulacion.</t>
        </is>
      </c>
      <c r="C7" t="inlineStr">
        <is>
          <t>Captura, formula o registro</t>
        </is>
      </c>
      <c r="D7" s="10" t="inlineStr">
        <is>
          <t>Pendiente</t>
        </is>
      </c>
      <c r="E7" t="n">
        <v>12.5</v>
      </c>
    </row>
    <row r="8">
      <c r="A8" t="inlineStr">
        <is>
          <t>T-05</t>
        </is>
      </c>
      <c r="B8" t="inlineStr">
        <is>
          <t>Acredite con minimo 80 y cero errores criticos.</t>
        </is>
      </c>
      <c r="C8" t="inlineStr">
        <is>
          <t>Captura, formula o registro</t>
        </is>
      </c>
      <c r="D8" s="10" t="inlineStr">
        <is>
          <t>Pendiente</t>
        </is>
      </c>
      <c r="E8" t="n">
        <v>12.5</v>
      </c>
    </row>
    <row r="9">
      <c r="A9" t="inlineStr">
        <is>
          <t>T-06</t>
        </is>
      </c>
      <c r="B9" t="inlineStr">
        <is>
          <t>Ejecute al menos tres casos de prueba.</t>
        </is>
      </c>
      <c r="C9" t="inlineStr">
        <is>
          <t>Captura, formula o registro</t>
        </is>
      </c>
      <c r="D9" s="10" t="inlineStr">
        <is>
          <t>Pendiente</t>
        </is>
      </c>
      <c r="E9" t="n">
        <v>12.5</v>
      </c>
    </row>
    <row r="10">
      <c r="A10" t="inlineStr">
        <is>
          <t>T-07</t>
        </is>
      </c>
      <c r="B10" t="inlineStr">
        <is>
          <t>Documente hallazgos, impacto y accion.</t>
        </is>
      </c>
      <c r="C10" t="inlineStr">
        <is>
          <t>Captura, formula o registro</t>
        </is>
      </c>
      <c r="D10" s="10" t="inlineStr">
        <is>
          <t>Pendiente</t>
        </is>
      </c>
      <c r="E10" t="n">
        <v>12.5</v>
      </c>
    </row>
    <row r="11">
      <c r="A11" t="inlineStr">
        <is>
          <t>T-08</t>
        </is>
      </c>
      <c r="B11" t="inlineStr">
        <is>
          <t>Deje todas las diferencias de conciliacion en cero.</t>
        </is>
      </c>
      <c r="C11" t="inlineStr">
        <is>
          <t>Captura, formula o registro</t>
        </is>
      </c>
      <c r="D11" s="10" t="inlineStr">
        <is>
          <t>Pendiente</t>
        </is>
      </c>
      <c r="E11" t="n">
        <v>12.5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2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22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17" customWidth="1" min="28" max="28"/>
    <col width="17" customWidth="1" min="29" max="29"/>
    <col width="45" customWidth="1" min="30" max="30"/>
    <col width="17" customWidth="1" min="31" max="31"/>
  </cols>
  <sheetData>
    <row r="1">
      <c r="A1" s="11" t="inlineStr">
        <is>
          <t>Orden_Original</t>
        </is>
      </c>
      <c r="B1" s="11" t="inlineStr">
        <is>
          <t>Folio</t>
        </is>
      </c>
      <c r="C1" s="11" t="inlineStr">
        <is>
          <t>Fecha_Operacion</t>
        </is>
      </c>
      <c r="D1" s="11" t="inlineStr">
        <is>
          <t>Hora_Operacion</t>
        </is>
      </c>
      <c r="E1" s="11" t="inlineStr">
        <is>
          <t>Codigo_Cliente</t>
        </is>
      </c>
      <c r="F1" s="11" t="inlineStr">
        <is>
          <t>Cliente</t>
        </is>
      </c>
      <c r="G1" s="11" t="inlineStr">
        <is>
          <t>Codigo_Producto</t>
        </is>
      </c>
      <c r="H1" s="11" t="inlineStr">
        <is>
          <t>Producto</t>
        </is>
      </c>
      <c r="I1" s="11" t="inlineStr">
        <is>
          <t>Categoria</t>
        </is>
      </c>
      <c r="J1" s="11" t="inlineStr">
        <is>
          <t>Region</t>
        </is>
      </c>
      <c r="K1" s="11" t="inlineStr">
        <is>
          <t>Sucursal</t>
        </is>
      </c>
      <c r="L1" s="11" t="inlineStr">
        <is>
          <t>Canal</t>
        </is>
      </c>
      <c r="M1" s="11" t="inlineStr">
        <is>
          <t>Estado</t>
        </is>
      </c>
      <c r="N1" s="11" t="inlineStr">
        <is>
          <t>Prioridad</t>
        </is>
      </c>
      <c r="O1" s="11" t="inlineStr">
        <is>
          <t>Cantidad</t>
        </is>
      </c>
      <c r="P1" s="11" t="inlineStr">
        <is>
          <t>Precio_Unitario</t>
        </is>
      </c>
      <c r="Q1" s="11" t="inlineStr">
        <is>
          <t>Porcentaje_Descuento</t>
        </is>
      </c>
      <c r="R1" s="11" t="inlineStr">
        <is>
          <t>Costo_Unitario</t>
        </is>
      </c>
      <c r="S1" s="11" t="inlineStr">
        <is>
          <t>Fecha_Compromiso</t>
        </is>
      </c>
      <c r="T1" s="11" t="inlineStr">
        <is>
          <t>Fecha_Entrega</t>
        </is>
      </c>
      <c r="U1" s="11" t="inlineStr">
        <is>
          <t>Responsable</t>
        </is>
      </c>
      <c r="V1" s="11" t="inlineStr">
        <is>
          <t>Archivo_Origen</t>
        </is>
      </c>
      <c r="W1" s="11" t="inlineStr">
        <is>
          <t>Importe_Bruto</t>
        </is>
      </c>
      <c r="X1" s="11" t="inlineStr">
        <is>
          <t>Importe_Descuento</t>
        </is>
      </c>
      <c r="Y1" s="11" t="inlineStr">
        <is>
          <t>Venta_Neta</t>
        </is>
      </c>
      <c r="Z1" s="11" t="inlineStr">
        <is>
          <t>Costo_Total</t>
        </is>
      </c>
      <c r="AA1" s="11" t="inlineStr">
        <is>
          <t>Utilidad</t>
        </is>
      </c>
      <c r="AB1" s="11" t="inlineStr">
        <is>
          <t>Margen</t>
        </is>
      </c>
      <c r="AC1" s="11" t="inlineStr">
        <is>
          <t>Dias_Atraso</t>
        </is>
      </c>
      <c r="AD1" s="11" t="inlineStr">
        <is>
          <t>Clave_Duplicado</t>
        </is>
      </c>
      <c r="AE1" s="11" t="inlineStr">
        <is>
          <t>Conteo_Clave</t>
        </is>
      </c>
    </row>
    <row r="2">
      <c r="A2" t="n">
        <v>1</v>
      </c>
      <c r="B2" t="inlineStr">
        <is>
          <t>OP-000001</t>
        </is>
      </c>
      <c r="C2" s="12" t="n">
        <v>46030</v>
      </c>
      <c r="D2" s="13" t="n">
        <v>0.3368055555555556</v>
      </c>
      <c r="E2" t="inlineStr">
        <is>
          <t>C-0002</t>
        </is>
      </c>
      <c r="F2" t="inlineStr">
        <is>
          <t>Cliente 2</t>
        </is>
      </c>
      <c r="G2" t="inlineStr">
        <is>
          <t>P-100</t>
        </is>
      </c>
      <c r="H2" t="inlineStr">
        <is>
          <t>Monitor 24</t>
        </is>
      </c>
      <c r="I2" t="inlineStr">
        <is>
          <t>Tecnologia</t>
        </is>
      </c>
      <c r="J2" t="inlineStr">
        <is>
          <t>Norte</t>
        </is>
      </c>
      <c r="K2" t="inlineStr">
        <is>
          <t>SUC-02</t>
        </is>
      </c>
      <c r="L2" t="inlineStr">
        <is>
          <t>Tienda</t>
        </is>
      </c>
      <c r="M2" t="inlineStr">
        <is>
          <t>Pendiente</t>
        </is>
      </c>
      <c r="N2" t="inlineStr">
        <is>
          <t>Alta</t>
        </is>
      </c>
      <c r="O2" t="n">
        <v>4</v>
      </c>
      <c r="P2" s="14" t="n">
        <v>637</v>
      </c>
      <c r="Q2" s="15" t="n">
        <v>0.05</v>
      </c>
      <c r="R2" s="14" t="n">
        <v>356.72</v>
      </c>
      <c r="S2" s="12" t="n">
        <v>46038</v>
      </c>
      <c r="T2" s="12" t="n">
        <v>46034</v>
      </c>
      <c r="U2" t="inlineStr">
        <is>
          <t>Resp 2</t>
        </is>
      </c>
      <c r="V2" t="inlineStr">
        <is>
          <t>archivo_02.csv</t>
        </is>
      </c>
      <c r="W2" s="14" t="n">
        <v>2548</v>
      </c>
      <c r="X2" s="14" t="n">
        <v>127.4</v>
      </c>
      <c r="Y2" s="14" t="n">
        <v>2420.6</v>
      </c>
      <c r="Z2" s="14" t="n">
        <v>1426.88</v>
      </c>
      <c r="AA2" s="14" t="n">
        <v>993.7199999999998</v>
      </c>
      <c r="AB2" s="15" t="n">
        <v>0.4105263157894736</v>
      </c>
      <c r="AC2" t="n">
        <v>4</v>
      </c>
      <c r="AD2" t="inlineStr">
        <is>
          <t>NORTE|OP-000001|20260108|P-100</t>
        </is>
      </c>
      <c r="AE2" t="n">
        <v>1</v>
      </c>
    </row>
    <row r="3">
      <c r="A3" t="n">
        <v>2</v>
      </c>
      <c r="B3" t="inlineStr">
        <is>
          <t>OP-000002</t>
        </is>
      </c>
      <c r="C3" s="12" t="n">
        <v>46037</v>
      </c>
      <c r="D3" s="13" t="n">
        <v>0.3819444444444444</v>
      </c>
      <c r="E3" t="inlineStr">
        <is>
          <t>C-0003</t>
        </is>
      </c>
      <c r="F3" t="inlineStr">
        <is>
          <t>Cliente 3</t>
        </is>
      </c>
      <c r="G3" t="inlineStr">
        <is>
          <t>P-200</t>
        </is>
      </c>
      <c r="H3" t="inlineStr">
        <is>
          <t>Teclado</t>
        </is>
      </c>
      <c r="I3" t="inlineStr">
        <is>
          <t>Tecnologia</t>
        </is>
      </c>
      <c r="J3" t="inlineStr">
        <is>
          <t>Centro</t>
        </is>
      </c>
      <c r="K3" t="inlineStr">
        <is>
          <t>SUC-03</t>
        </is>
      </c>
      <c r="L3" t="inlineStr">
        <is>
          <t>Distribuidor</t>
        </is>
      </c>
      <c r="M3" t="inlineStr">
        <is>
          <t>Cancelado</t>
        </is>
      </c>
      <c r="N3" t="inlineStr">
        <is>
          <t>Media</t>
        </is>
      </c>
      <c r="O3" t="n">
        <v>7</v>
      </c>
      <c r="P3" s="14" t="n">
        <v>774</v>
      </c>
      <c r="Q3" s="15" t="n">
        <v>0.1</v>
      </c>
      <c r="R3" s="14" t="n">
        <v>441.18</v>
      </c>
      <c r="S3" s="12" t="n">
        <v>46046</v>
      </c>
      <c r="T3" s="12" t="n">
        <v>46042</v>
      </c>
      <c r="U3" t="inlineStr">
        <is>
          <t>Resp 3</t>
        </is>
      </c>
      <c r="V3" t="inlineStr">
        <is>
          <t>archivo_03.csv</t>
        </is>
      </c>
      <c r="W3" s="14" t="n">
        <v>5418</v>
      </c>
      <c r="X3" s="14" t="n">
        <v>541.8000000000001</v>
      </c>
      <c r="Y3" s="14" t="n">
        <v>4876.2</v>
      </c>
      <c r="Z3" s="14" t="n">
        <v>3088.26</v>
      </c>
      <c r="AA3" s="14" t="n">
        <v>1787.94</v>
      </c>
      <c r="AB3" s="15" t="n">
        <v>0.3666666666666666</v>
      </c>
      <c r="AC3" t="n">
        <v>5</v>
      </c>
      <c r="AD3" t="inlineStr">
        <is>
          <t>CENTRO|OP-000002|20260115|P-200</t>
        </is>
      </c>
      <c r="AE3" t="n">
        <v>1</v>
      </c>
    </row>
    <row r="4">
      <c r="A4" t="n">
        <v>3</v>
      </c>
      <c r="B4" t="inlineStr">
        <is>
          <t>OP-000003</t>
        </is>
      </c>
      <c r="C4" s="12" t="n">
        <v>46044</v>
      </c>
      <c r="D4" s="13" t="n">
        <v>0.4270833333333333</v>
      </c>
      <c r="E4" t="inlineStr">
        <is>
          <t>C-0004</t>
        </is>
      </c>
      <c r="F4" t="inlineStr">
        <is>
          <t>Cliente 4</t>
        </is>
      </c>
      <c r="G4" t="inlineStr">
        <is>
          <t>P-300</t>
        </is>
      </c>
      <c r="H4" t="inlineStr">
        <is>
          <t>Mouse</t>
        </is>
      </c>
      <c r="I4" t="inlineStr">
        <is>
          <t>Tecnologia</t>
        </is>
      </c>
      <c r="J4" t="inlineStr">
        <is>
          <t>Sur</t>
        </is>
      </c>
      <c r="K4" t="inlineStr">
        <is>
          <t>SUC-04</t>
        </is>
      </c>
      <c r="L4" t="inlineStr">
        <is>
          <t>Digital</t>
        </is>
      </c>
      <c r="M4" t="inlineStr">
        <is>
          <t>En revision</t>
        </is>
      </c>
      <c r="N4" t="inlineStr">
        <is>
          <t>Baja</t>
        </is>
      </c>
      <c r="O4" t="n">
        <v>10</v>
      </c>
      <c r="P4" s="14" t="n">
        <v>911</v>
      </c>
      <c r="Q4" s="15" t="n">
        <v>0.15</v>
      </c>
      <c r="R4" s="14" t="n">
        <v>528.38</v>
      </c>
      <c r="S4" s="12" t="n">
        <v>46054</v>
      </c>
      <c r="T4" s="12" t="n">
        <v>46050</v>
      </c>
      <c r="U4" t="inlineStr">
        <is>
          <t>Resp 4</t>
        </is>
      </c>
      <c r="V4" t="inlineStr">
        <is>
          <t>archivo_04.csv</t>
        </is>
      </c>
      <c r="W4" s="14" t="n">
        <v>9110</v>
      </c>
      <c r="X4" s="14" t="n">
        <v>1366.5</v>
      </c>
      <c r="Y4" s="14" t="n">
        <v>7743.5</v>
      </c>
      <c r="Z4" s="14" t="n">
        <v>5283.8</v>
      </c>
      <c r="AA4" s="14" t="n">
        <v>2459.7</v>
      </c>
      <c r="AB4" s="15" t="n">
        <v>0.3176470588235294</v>
      </c>
      <c r="AC4" t="n">
        <v>6</v>
      </c>
      <c r="AD4" t="inlineStr">
        <is>
          <t>SUR|OP-000003|20260122|P-300</t>
        </is>
      </c>
      <c r="AE4" t="n">
        <v>1</v>
      </c>
    </row>
    <row r="5">
      <c r="A5" t="n">
        <v>4</v>
      </c>
      <c r="B5" t="inlineStr">
        <is>
          <t>OP-000004</t>
        </is>
      </c>
      <c r="C5" s="12" t="n">
        <v>46051</v>
      </c>
      <c r="D5" s="13" t="n">
        <v>0.4722222222222222</v>
      </c>
      <c r="E5" t="inlineStr">
        <is>
          <t>C-0005</t>
        </is>
      </c>
      <c r="F5" t="inlineStr">
        <is>
          <t>Cliente 5</t>
        </is>
      </c>
      <c r="G5" t="inlineStr">
        <is>
          <t>P-400</t>
        </is>
      </c>
      <c r="H5" t="inlineStr">
        <is>
          <t>Laptop</t>
        </is>
      </c>
      <c r="I5" t="inlineStr">
        <is>
          <t>Tecnologia</t>
        </is>
      </c>
      <c r="J5" t="inlineStr">
        <is>
          <t>Pacifico</t>
        </is>
      </c>
      <c r="K5" t="inlineStr">
        <is>
          <t>SUC-05</t>
        </is>
      </c>
      <c r="L5" t="inlineStr">
        <is>
          <t>Tienda</t>
        </is>
      </c>
      <c r="M5" t="inlineStr">
        <is>
          <t>Aprobado</t>
        </is>
      </c>
      <c r="N5" t="inlineStr">
        <is>
          <t>Critica</t>
        </is>
      </c>
      <c r="O5" t="n">
        <v>13</v>
      </c>
      <c r="P5" s="14" t="n">
        <v>1048</v>
      </c>
      <c r="Q5" s="15" t="n">
        <v>0</v>
      </c>
      <c r="R5" s="14" t="n">
        <v>618.3200000000001</v>
      </c>
      <c r="S5" s="12" t="n">
        <v>46062</v>
      </c>
      <c r="T5" s="12" t="n">
        <v>46058</v>
      </c>
      <c r="U5" t="inlineStr">
        <is>
          <t>Resp 5</t>
        </is>
      </c>
      <c r="V5" t="inlineStr">
        <is>
          <t>archivo_05.csv</t>
        </is>
      </c>
      <c r="W5" s="14" t="n">
        <v>13624</v>
      </c>
      <c r="X5" s="14" t="n">
        <v>0</v>
      </c>
      <c r="Y5" s="14" t="n">
        <v>13624</v>
      </c>
      <c r="Z5" s="14" t="n">
        <v>8038.160000000001</v>
      </c>
      <c r="AA5" s="14" t="n">
        <v>5585.839999999999</v>
      </c>
      <c r="AB5" s="15" t="n">
        <v>0.4099999999999999</v>
      </c>
      <c r="AC5" t="n">
        <v>7</v>
      </c>
      <c r="AD5" t="inlineStr">
        <is>
          <t>PACIFICO|OP-000004|20260129|P-400</t>
        </is>
      </c>
      <c r="AE5" t="n">
        <v>1</v>
      </c>
    </row>
    <row r="6">
      <c r="A6" t="n">
        <v>5</v>
      </c>
      <c r="B6" t="inlineStr">
        <is>
          <t>OP-000005</t>
        </is>
      </c>
      <c r="C6" s="12" t="n">
        <v>46058</v>
      </c>
      <c r="D6" s="13" t="n">
        <v>0.5173611111111112</v>
      </c>
      <c r="E6" t="inlineStr">
        <is>
          <t>C-0006</t>
        </is>
      </c>
      <c r="F6" t="inlineStr">
        <is>
          <t>Cliente 6</t>
        </is>
      </c>
      <c r="G6" t="inlineStr">
        <is>
          <t>P-500</t>
        </is>
      </c>
      <c r="H6" t="inlineStr">
        <is>
          <t>Dock</t>
        </is>
      </c>
      <c r="I6" t="inlineStr">
        <is>
          <t>Tecnologia</t>
        </is>
      </c>
      <c r="J6" t="inlineStr">
        <is>
          <t>Norte</t>
        </is>
      </c>
      <c r="K6" t="inlineStr">
        <is>
          <t>SUC-06</t>
        </is>
      </c>
      <c r="L6" t="inlineStr">
        <is>
          <t>Distribuidor</t>
        </is>
      </c>
      <c r="M6" t="inlineStr">
        <is>
          <t>Pendiente</t>
        </is>
      </c>
      <c r="N6" t="inlineStr">
        <is>
          <t>Alta</t>
        </is>
      </c>
      <c r="O6" t="n">
        <v>16</v>
      </c>
      <c r="P6" s="14" t="n">
        <v>1185</v>
      </c>
      <c r="Q6" s="15" t="n">
        <v>0.05</v>
      </c>
      <c r="R6" s="14" t="n">
        <v>711</v>
      </c>
      <c r="S6" s="12" t="n">
        <v>46070</v>
      </c>
      <c r="T6" s="12" t="n">
        <v>46066</v>
      </c>
      <c r="U6" t="inlineStr">
        <is>
          <t>Resp 6</t>
        </is>
      </c>
      <c r="V6" t="inlineStr">
        <is>
          <t>archivo_06.csv</t>
        </is>
      </c>
      <c r="W6" s="14" t="n">
        <v>18960</v>
      </c>
      <c r="X6" s="14" t="n">
        <v>948</v>
      </c>
      <c r="Y6" s="14" t="n">
        <v>18012</v>
      </c>
      <c r="Z6" s="14" t="n">
        <v>11376</v>
      </c>
      <c r="AA6" s="14" t="n">
        <v>6636</v>
      </c>
      <c r="AB6" s="15" t="n">
        <v>0.3684210526315789</v>
      </c>
      <c r="AC6" t="n">
        <v>8</v>
      </c>
      <c r="AD6" t="inlineStr">
        <is>
          <t>NORTE|OP-000005|20260205|P-500</t>
        </is>
      </c>
      <c r="AE6" t="n">
        <v>1</v>
      </c>
    </row>
    <row r="7">
      <c r="A7" t="n">
        <v>6</v>
      </c>
      <c r="B7" t="inlineStr">
        <is>
          <t>OP-000006</t>
        </is>
      </c>
      <c r="C7" s="12" t="n">
        <v>46065</v>
      </c>
      <c r="D7" s="13" t="n">
        <v>0.5625</v>
      </c>
      <c r="E7" t="inlineStr">
        <is>
          <t>C-0007</t>
        </is>
      </c>
      <c r="F7" t="inlineStr">
        <is>
          <t>Cliente 7</t>
        </is>
      </c>
      <c r="G7" t="inlineStr">
        <is>
          <t>P-100</t>
        </is>
      </c>
      <c r="H7" t="inlineStr">
        <is>
          <t>Monitor 24</t>
        </is>
      </c>
      <c r="I7" t="inlineStr">
        <is>
          <t>Tecnologia</t>
        </is>
      </c>
      <c r="J7" t="inlineStr">
        <is>
          <t>Centro</t>
        </is>
      </c>
      <c r="K7" t="inlineStr">
        <is>
          <t>SUC-07</t>
        </is>
      </c>
      <c r="L7" t="inlineStr">
        <is>
          <t>Digital</t>
        </is>
      </c>
      <c r="M7" t="inlineStr">
        <is>
          <t>Cancelado</t>
        </is>
      </c>
      <c r="N7" t="inlineStr">
        <is>
          <t>Media</t>
        </is>
      </c>
      <c r="O7" t="n">
        <v>19</v>
      </c>
      <c r="P7" s="14" t="n">
        <v>1322</v>
      </c>
      <c r="Q7" s="15" t="n">
        <v>0.1</v>
      </c>
      <c r="R7" s="14" t="n">
        <v>806.42</v>
      </c>
      <c r="S7" s="12" t="n">
        <v>46078</v>
      </c>
      <c r="T7" s="12" t="n">
        <v>46074</v>
      </c>
      <c r="U7" t="inlineStr">
        <is>
          <t>Resp 7</t>
        </is>
      </c>
      <c r="V7" t="inlineStr">
        <is>
          <t>archivo_01.csv</t>
        </is>
      </c>
      <c r="W7" s="14" t="n">
        <v>25118</v>
      </c>
      <c r="X7" s="14" t="n">
        <v>2511.8</v>
      </c>
      <c r="Y7" s="14" t="n">
        <v>22606.2</v>
      </c>
      <c r="Z7" s="14" t="n">
        <v>15321.98</v>
      </c>
      <c r="AA7" s="14" t="n">
        <v>7284.220000000001</v>
      </c>
      <c r="AB7" s="15" t="n">
        <v>0.3222222222222222</v>
      </c>
      <c r="AC7" t="n">
        <v>9</v>
      </c>
      <c r="AD7" t="inlineStr">
        <is>
          <t>CENTRO|OP-000006|20260212|P-100</t>
        </is>
      </c>
      <c r="AE7" t="n">
        <v>1</v>
      </c>
    </row>
    <row r="8">
      <c r="A8" t="n">
        <v>7</v>
      </c>
      <c r="B8" t="inlineStr">
        <is>
          <t>OP-000007</t>
        </is>
      </c>
      <c r="C8" s="12" t="n">
        <v>46072</v>
      </c>
      <c r="D8" s="13" t="n">
        <v>0.6076388888888888</v>
      </c>
      <c r="E8" t="inlineStr">
        <is>
          <t>C-0008</t>
        </is>
      </c>
      <c r="F8" t="inlineStr">
        <is>
          <t>Cliente 8</t>
        </is>
      </c>
      <c r="G8" t="inlineStr">
        <is>
          <t>P-200</t>
        </is>
      </c>
      <c r="H8" t="inlineStr">
        <is>
          <t>Teclado</t>
        </is>
      </c>
      <c r="I8" t="inlineStr">
        <is>
          <t>Tecnologia</t>
        </is>
      </c>
      <c r="J8" t="inlineStr">
        <is>
          <t xml:space="preserve"> Sur</t>
        </is>
      </c>
      <c r="K8" t="inlineStr">
        <is>
          <t>SUC-08</t>
        </is>
      </c>
      <c r="L8" t="inlineStr">
        <is>
          <t>Tienda</t>
        </is>
      </c>
      <c r="M8" t="inlineStr">
        <is>
          <t>En revision</t>
        </is>
      </c>
      <c r="N8" t="inlineStr">
        <is>
          <t>Baja</t>
        </is>
      </c>
      <c r="O8" t="n">
        <v>22</v>
      </c>
      <c r="P8" s="14" t="n">
        <v>1459</v>
      </c>
      <c r="Q8" s="15" t="n">
        <v>0.15</v>
      </c>
      <c r="R8" s="14" t="n">
        <v>904.58</v>
      </c>
      <c r="S8" s="12" t="n">
        <v>46086</v>
      </c>
      <c r="T8" s="12" t="n">
        <v>46082</v>
      </c>
      <c r="U8" t="inlineStr">
        <is>
          <t>Resp 8</t>
        </is>
      </c>
      <c r="V8" t="inlineStr">
        <is>
          <t>archivo_02.csv</t>
        </is>
      </c>
      <c r="W8" s="14" t="n">
        <v>32098</v>
      </c>
      <c r="X8" s="14" t="n">
        <v>4814.7</v>
      </c>
      <c r="Y8" s="14" t="n">
        <v>27283.3</v>
      </c>
      <c r="Z8" s="14" t="n">
        <v>19900.76</v>
      </c>
      <c r="AA8" s="14" t="n">
        <v>7382.539999999997</v>
      </c>
      <c r="AB8" s="15" t="n">
        <v>0.2705882352941176</v>
      </c>
      <c r="AC8" t="n">
        <v>10</v>
      </c>
      <c r="AD8" t="inlineStr">
        <is>
          <t>SUR|OP-000007|20260219|P-200</t>
        </is>
      </c>
      <c r="AE8" t="n">
        <v>1</v>
      </c>
    </row>
    <row r="9">
      <c r="A9" t="n">
        <v>8</v>
      </c>
      <c r="B9" t="inlineStr">
        <is>
          <t>OP-000008</t>
        </is>
      </c>
      <c r="C9" s="12" t="n">
        <v>46079</v>
      </c>
      <c r="D9" s="13" t="n">
        <v>0.6527777777777778</v>
      </c>
      <c r="E9" t="inlineStr">
        <is>
          <t>C-0009</t>
        </is>
      </c>
      <c r="F9" t="inlineStr">
        <is>
          <t>Cliente 9</t>
        </is>
      </c>
      <c r="G9" t="inlineStr">
        <is>
          <t>P-300</t>
        </is>
      </c>
      <c r="H9" t="inlineStr">
        <is>
          <t>Mouse</t>
        </is>
      </c>
      <c r="I9" t="inlineStr">
        <is>
          <t>Tecnologia</t>
        </is>
      </c>
      <c r="J9" t="inlineStr">
        <is>
          <t>Pacifico</t>
        </is>
      </c>
      <c r="K9" t="inlineStr">
        <is>
          <t>SUC-01</t>
        </is>
      </c>
      <c r="L9" t="inlineStr">
        <is>
          <t>Distribuidor</t>
        </is>
      </c>
      <c r="M9" t="inlineStr">
        <is>
          <t>Aprobado</t>
        </is>
      </c>
      <c r="N9" t="inlineStr">
        <is>
          <t>Critica</t>
        </is>
      </c>
      <c r="O9" t="n">
        <v>25</v>
      </c>
      <c r="P9" s="14" t="n">
        <v>1596</v>
      </c>
      <c r="Q9" s="15" t="n">
        <v>0</v>
      </c>
      <c r="R9" s="14" t="n">
        <v>877.8</v>
      </c>
      <c r="S9" s="12" t="n">
        <v>46094</v>
      </c>
      <c r="T9" s="12" t="n">
        <v>46090</v>
      </c>
      <c r="U9" t="inlineStr">
        <is>
          <t>Resp 9</t>
        </is>
      </c>
      <c r="V9" t="inlineStr">
        <is>
          <t>archivo_03.csv</t>
        </is>
      </c>
      <c r="W9" s="14" t="n">
        <v>39900</v>
      </c>
      <c r="X9" s="14" t="n">
        <v>0</v>
      </c>
      <c r="Y9" s="14" t="n">
        <v>39900</v>
      </c>
      <c r="Z9" s="14" t="n">
        <v>21945</v>
      </c>
      <c r="AA9" s="14" t="n">
        <v>17955</v>
      </c>
      <c r="AB9" s="15" t="n">
        <v>0.45</v>
      </c>
      <c r="AC9" t="n">
        <v>11</v>
      </c>
      <c r="AD9" t="inlineStr">
        <is>
          <t>PACIFICO|OP-000008|20260226|P-300</t>
        </is>
      </c>
      <c r="AE9" t="n">
        <v>1</v>
      </c>
    </row>
    <row r="10">
      <c r="A10" t="n">
        <v>9</v>
      </c>
      <c r="B10" t="inlineStr">
        <is>
          <t>OP-000009</t>
        </is>
      </c>
      <c r="C10" s="12" t="n">
        <v>46086</v>
      </c>
      <c r="D10" s="13" t="n">
        <v>0.6979166666666666</v>
      </c>
      <c r="E10" t="inlineStr">
        <is>
          <t>C-0010</t>
        </is>
      </c>
      <c r="F10" t="inlineStr">
        <is>
          <t>Cliente 10</t>
        </is>
      </c>
      <c r="G10" t="inlineStr">
        <is>
          <t>P-400</t>
        </is>
      </c>
      <c r="H10" t="inlineStr">
        <is>
          <t>Laptop</t>
        </is>
      </c>
      <c r="I10" t="inlineStr">
        <is>
          <t>Tecnologia</t>
        </is>
      </c>
      <c r="J10" t="inlineStr">
        <is>
          <t>Norte</t>
        </is>
      </c>
      <c r="K10" t="inlineStr">
        <is>
          <t>SUC-02</t>
        </is>
      </c>
      <c r="L10" t="inlineStr">
        <is>
          <t>Digital</t>
        </is>
      </c>
      <c r="M10" t="inlineStr">
        <is>
          <t>Pendiente</t>
        </is>
      </c>
      <c r="N10" t="inlineStr">
        <is>
          <t>Alta</t>
        </is>
      </c>
      <c r="O10" t="n">
        <v>28</v>
      </c>
      <c r="P10" s="14" t="n">
        <v>1733</v>
      </c>
      <c r="Q10" s="15" t="n">
        <v>0.05</v>
      </c>
      <c r="R10" s="14" t="n">
        <v>970.48</v>
      </c>
      <c r="S10" s="12" t="n">
        <v>46102</v>
      </c>
      <c r="T10" s="12" t="n">
        <v>46098</v>
      </c>
      <c r="U10" t="inlineStr">
        <is>
          <t>Resp 10</t>
        </is>
      </c>
      <c r="V10" t="inlineStr">
        <is>
          <t>archivo_04.csv</t>
        </is>
      </c>
      <c r="W10" s="14" t="n">
        <v>48524</v>
      </c>
      <c r="X10" s="14" t="n">
        <v>2426.2</v>
      </c>
      <c r="Y10" s="14" t="n">
        <v>46097.8</v>
      </c>
      <c r="Z10" s="14" t="n">
        <v>27173.44</v>
      </c>
      <c r="AA10" s="14" t="n">
        <v>18924.36</v>
      </c>
      <c r="AB10" s="15" t="n">
        <v>0.4105263157894737</v>
      </c>
      <c r="AC10" t="n">
        <v>12</v>
      </c>
      <c r="AD10" t="inlineStr">
        <is>
          <t>NORTE|OP-000009|20260305|P-400</t>
        </is>
      </c>
      <c r="AE10" t="n">
        <v>1</v>
      </c>
    </row>
    <row r="11">
      <c r="A11" t="n">
        <v>10</v>
      </c>
      <c r="B11" t="inlineStr">
        <is>
          <t>OP-000010</t>
        </is>
      </c>
      <c r="C11" s="12" t="n">
        <v>46093</v>
      </c>
      <c r="D11" s="13" t="n">
        <v>0.7430555555555556</v>
      </c>
      <c r="E11" t="inlineStr">
        <is>
          <t>C-0011</t>
        </is>
      </c>
      <c r="F11" t="inlineStr">
        <is>
          <t>Cliente 11</t>
        </is>
      </c>
      <c r="G11" t="inlineStr">
        <is>
          <t>P-500</t>
        </is>
      </c>
      <c r="H11" t="inlineStr">
        <is>
          <t>Dock</t>
        </is>
      </c>
      <c r="I11" t="inlineStr">
        <is>
          <t>Tecnologia</t>
        </is>
      </c>
      <c r="J11" t="inlineStr">
        <is>
          <t>Centro</t>
        </is>
      </c>
      <c r="K11" t="inlineStr">
        <is>
          <t>SUC-03</t>
        </is>
      </c>
      <c r="L11" t="inlineStr">
        <is>
          <t>Tienda</t>
        </is>
      </c>
      <c r="M11" t="inlineStr">
        <is>
          <t>Cancelado</t>
        </is>
      </c>
      <c r="N11" t="inlineStr">
        <is>
          <t>Media</t>
        </is>
      </c>
      <c r="O11" t="n">
        <v>31</v>
      </c>
      <c r="P11" s="14" t="n">
        <v>1870</v>
      </c>
      <c r="Q11" s="15" t="n">
        <v>0.1</v>
      </c>
      <c r="R11" s="14" t="n">
        <v>1065.9</v>
      </c>
      <c r="S11" s="12" t="n">
        <v>46100</v>
      </c>
      <c r="T11" s="12" t="n">
        <v>46106</v>
      </c>
      <c r="U11" t="inlineStr">
        <is>
          <t>Resp 11</t>
        </is>
      </c>
      <c r="V11" t="inlineStr">
        <is>
          <t>archivo_05.csv</t>
        </is>
      </c>
      <c r="W11" s="14" t="n">
        <v>57970</v>
      </c>
      <c r="X11" s="14" t="n">
        <v>5797</v>
      </c>
      <c r="Y11" s="14" t="n">
        <v>52173</v>
      </c>
      <c r="Z11" s="14" t="n">
        <v>33042.9</v>
      </c>
      <c r="AA11" s="14" t="n">
        <v>19130.1</v>
      </c>
      <c r="AB11" s="15" t="n">
        <v>0.3666666666666666</v>
      </c>
      <c r="AC11" t="n">
        <v>13</v>
      </c>
      <c r="AD11" t="inlineStr">
        <is>
          <t>CENTRO|OP-000010|20260312|P-500</t>
        </is>
      </c>
      <c r="AE11" t="n">
        <v>1</v>
      </c>
    </row>
    <row r="12">
      <c r="A12" t="n">
        <v>11</v>
      </c>
      <c r="B12" t="inlineStr">
        <is>
          <t>OP-000011</t>
        </is>
      </c>
      <c r="C12" s="12" t="n">
        <v>46100</v>
      </c>
      <c r="D12" s="13" t="n">
        <v>0.7881944444444444</v>
      </c>
      <c r="E12" t="inlineStr">
        <is>
          <t>C-0012</t>
        </is>
      </c>
      <c r="F12" t="inlineStr">
        <is>
          <t>Cliente 12</t>
        </is>
      </c>
      <c r="G12" t="inlineStr">
        <is>
          <t>P-100</t>
        </is>
      </c>
      <c r="H12" t="inlineStr">
        <is>
          <t>Monitor 24</t>
        </is>
      </c>
      <c r="I12" t="inlineStr">
        <is>
          <t>Tecnologia</t>
        </is>
      </c>
      <c r="J12" t="inlineStr">
        <is>
          <t>Sur</t>
        </is>
      </c>
      <c r="K12" t="inlineStr">
        <is>
          <t>SUC-04</t>
        </is>
      </c>
      <c r="L12" t="inlineStr">
        <is>
          <t>Distribuidor</t>
        </is>
      </c>
      <c r="M12" t="inlineStr">
        <is>
          <t>En revision</t>
        </is>
      </c>
      <c r="N12" t="inlineStr">
        <is>
          <t>Baja</t>
        </is>
      </c>
      <c r="O12" t="n">
        <v>34</v>
      </c>
      <c r="P12" s="14" t="n">
        <v>2007</v>
      </c>
      <c r="Q12" s="15" t="n">
        <v>0.15</v>
      </c>
      <c r="R12" s="14" t="n">
        <v>1164.06</v>
      </c>
      <c r="S12" s="12" t="n">
        <v>46108</v>
      </c>
      <c r="T12" s="12" t="n">
        <v>46114</v>
      </c>
      <c r="U12" t="inlineStr">
        <is>
          <t>Resp 12</t>
        </is>
      </c>
      <c r="V12" t="inlineStr">
        <is>
          <t>archivo_06.csv</t>
        </is>
      </c>
      <c r="W12" s="14" t="n">
        <v>68238</v>
      </c>
      <c r="X12" s="14" t="n">
        <v>10235.7</v>
      </c>
      <c r="Y12" s="14" t="n">
        <v>58002.3</v>
      </c>
      <c r="Z12" s="14" t="n">
        <v>39578.04</v>
      </c>
      <c r="AA12" s="14" t="n">
        <v>18424.26</v>
      </c>
      <c r="AB12" s="15" t="n">
        <v>0.3176470588235294</v>
      </c>
      <c r="AC12" t="n">
        <v>14</v>
      </c>
      <c r="AD12" t="inlineStr">
        <is>
          <t>SUR|OP-000011|20260319|P-100</t>
        </is>
      </c>
      <c r="AE12" t="n">
        <v>1</v>
      </c>
    </row>
    <row r="13">
      <c r="A13" t="n">
        <v>12</v>
      </c>
      <c r="B13" t="inlineStr">
        <is>
          <t>OP-000012</t>
        </is>
      </c>
      <c r="C13" s="12" t="n">
        <v>46107</v>
      </c>
      <c r="D13" s="13" t="n">
        <v>0.2916666666666667</v>
      </c>
      <c r="E13" t="inlineStr">
        <is>
          <t>C-0013</t>
        </is>
      </c>
      <c r="F13" t="inlineStr">
        <is>
          <t>Cliente 13</t>
        </is>
      </c>
      <c r="G13" t="inlineStr">
        <is>
          <t>P-200</t>
        </is>
      </c>
      <c r="H13" t="inlineStr">
        <is>
          <t>Teclado</t>
        </is>
      </c>
      <c r="I13" t="inlineStr">
        <is>
          <t>Tecnologia</t>
        </is>
      </c>
      <c r="J13" t="inlineStr">
        <is>
          <t>Pacifico</t>
        </is>
      </c>
      <c r="K13" t="inlineStr">
        <is>
          <t>SUC-05</t>
        </is>
      </c>
      <c r="L13" t="inlineStr">
        <is>
          <t>Digital</t>
        </is>
      </c>
      <c r="M13" t="inlineStr">
        <is>
          <t>Aprobado</t>
        </is>
      </c>
      <c r="N13" t="inlineStr">
        <is>
          <t>Critica</t>
        </is>
      </c>
      <c r="O13" t="n">
        <v>37</v>
      </c>
      <c r="P13" s="14" t="n">
        <v>2144</v>
      </c>
      <c r="Q13" s="15" t="n">
        <v>0</v>
      </c>
      <c r="R13" s="14" t="n">
        <v>1264.96</v>
      </c>
      <c r="S13" s="12" t="n">
        <v>46116</v>
      </c>
      <c r="T13" s="12" t="n">
        <v>46122</v>
      </c>
      <c r="U13" t="inlineStr">
        <is>
          <t>Resp 1</t>
        </is>
      </c>
      <c r="V13" t="inlineStr">
        <is>
          <t>archivo_01.csv</t>
        </is>
      </c>
      <c r="W13" s="14" t="n">
        <v>79328</v>
      </c>
      <c r="X13" s="14" t="n">
        <v>0</v>
      </c>
      <c r="Y13" s="14" t="n">
        <v>79328</v>
      </c>
      <c r="Z13" s="14" t="n">
        <v>46803.52</v>
      </c>
      <c r="AA13" s="14" t="n">
        <v>32524.48</v>
      </c>
      <c r="AB13" s="15" t="n">
        <v>0.41</v>
      </c>
      <c r="AC13" t="n">
        <v>15</v>
      </c>
      <c r="AD13" t="inlineStr">
        <is>
          <t>PACIFICO|OP-000012|20260326|P-200</t>
        </is>
      </c>
      <c r="AE13" t="n">
        <v>1</v>
      </c>
    </row>
    <row r="14">
      <c r="A14" t="n">
        <v>13</v>
      </c>
      <c r="B14" t="inlineStr">
        <is>
          <t>OP-000013</t>
        </is>
      </c>
      <c r="C14" s="12" t="inlineStr">
        <is>
          <t>02/04/2026</t>
        </is>
      </c>
      <c r="D14" s="13" t="n">
        <v>0.3368055555555556</v>
      </c>
      <c r="E14" t="inlineStr">
        <is>
          <t>C-0014</t>
        </is>
      </c>
      <c r="F14" t="inlineStr">
        <is>
          <t>Cliente 14</t>
        </is>
      </c>
      <c r="G14" t="inlineStr">
        <is>
          <t>P-300</t>
        </is>
      </c>
      <c r="H14" t="inlineStr">
        <is>
          <t>Mouse</t>
        </is>
      </c>
      <c r="I14" t="inlineStr">
        <is>
          <t>Tecnologia</t>
        </is>
      </c>
      <c r="J14" t="inlineStr">
        <is>
          <t>Norte</t>
        </is>
      </c>
      <c r="K14" t="inlineStr">
        <is>
          <t>SUC-06</t>
        </is>
      </c>
      <c r="L14" t="inlineStr">
        <is>
          <t>Tienda</t>
        </is>
      </c>
      <c r="M14" t="inlineStr">
        <is>
          <t>Pendiente</t>
        </is>
      </c>
      <c r="N14" t="inlineStr">
        <is>
          <t>Alta</t>
        </is>
      </c>
      <c r="O14" t="n">
        <v>40</v>
      </c>
      <c r="P14" s="14" t="n">
        <v>2281</v>
      </c>
      <c r="Q14" s="15" t="n">
        <v>0.05</v>
      </c>
      <c r="R14" s="14" t="n">
        <v>1368.6</v>
      </c>
      <c r="S14" s="12" t="n">
        <v>46124</v>
      </c>
      <c r="T14" s="12" t="n">
        <v>46130</v>
      </c>
      <c r="U14" t="inlineStr">
        <is>
          <t>Resp 2</t>
        </is>
      </c>
      <c r="V14" t="inlineStr">
        <is>
          <t>archivo_02.csv</t>
        </is>
      </c>
      <c r="W14" s="14" t="n">
        <v>91240</v>
      </c>
      <c r="X14" s="14" t="n">
        <v>4562</v>
      </c>
      <c r="Y14" s="14" t="n">
        <v>86678</v>
      </c>
      <c r="Z14" s="14" t="n">
        <v>54744</v>
      </c>
      <c r="AA14" s="14" t="n">
        <v>31934</v>
      </c>
      <c r="AB14" s="15" t="n">
        <v>0.3684210526315789</v>
      </c>
      <c r="AC14" t="inlineStr"/>
      <c r="AD14" t="inlineStr">
        <is>
          <t>NORTE|OP-000013|02/04/2026|P-300</t>
        </is>
      </c>
      <c r="AE14" t="n">
        <v>1</v>
      </c>
    </row>
    <row r="15">
      <c r="A15" t="n">
        <v>14</v>
      </c>
      <c r="B15" t="inlineStr">
        <is>
          <t>OP-000014</t>
        </is>
      </c>
      <c r="C15" s="12" t="n">
        <v>46121</v>
      </c>
      <c r="D15" s="13" t="n">
        <v>0.3819444444444444</v>
      </c>
      <c r="E15" t="inlineStr">
        <is>
          <t>C-0015</t>
        </is>
      </c>
      <c r="F15" t="inlineStr">
        <is>
          <t>Cliente 15</t>
        </is>
      </c>
      <c r="G15" t="inlineStr">
        <is>
          <t>P-400</t>
        </is>
      </c>
      <c r="H15" t="inlineStr">
        <is>
          <t>Laptop</t>
        </is>
      </c>
      <c r="I15" t="inlineStr">
        <is>
          <t>Tecnologia</t>
        </is>
      </c>
      <c r="J15" t="inlineStr">
        <is>
          <t>Centro</t>
        </is>
      </c>
      <c r="K15" t="inlineStr">
        <is>
          <t>SUC-07</t>
        </is>
      </c>
      <c r="L15" t="inlineStr">
        <is>
          <t>Distribuidor</t>
        </is>
      </c>
      <c r="M15" t="inlineStr">
        <is>
          <t>Cancelado</t>
        </is>
      </c>
      <c r="N15" t="inlineStr">
        <is>
          <t>Media</t>
        </is>
      </c>
      <c r="O15" t="n">
        <v>43</v>
      </c>
      <c r="P15" s="14" t="n">
        <v>2418</v>
      </c>
      <c r="Q15" s="15" t="n">
        <v>0.1</v>
      </c>
      <c r="R15" s="14" t="n">
        <v>1474.98</v>
      </c>
      <c r="S15" s="12" t="n">
        <v>46132</v>
      </c>
      <c r="T15" s="12" t="n">
        <v>46138</v>
      </c>
      <c r="U15" t="inlineStr">
        <is>
          <t>Resp 3</t>
        </is>
      </c>
      <c r="V15" t="inlineStr">
        <is>
          <t>archivo_03.csv</t>
        </is>
      </c>
      <c r="W15" s="14" t="n">
        <v>103974</v>
      </c>
      <c r="X15" s="14" t="n">
        <v>10397.4</v>
      </c>
      <c r="Y15" s="14" t="n">
        <v>93576.60000000001</v>
      </c>
      <c r="Z15" s="14" t="n">
        <v>63424.14</v>
      </c>
      <c r="AA15" s="14" t="n">
        <v>30152.46000000001</v>
      </c>
      <c r="AB15" s="15" t="n">
        <v>0.3222222222222222</v>
      </c>
      <c r="AC15" t="n">
        <v>17</v>
      </c>
      <c r="AD15" t="inlineStr">
        <is>
          <t>CENTRO|OP-000014|20260409|P-400</t>
        </is>
      </c>
      <c r="AE15" t="n">
        <v>1</v>
      </c>
    </row>
    <row r="16">
      <c r="A16" t="n">
        <v>15</v>
      </c>
      <c r="B16" t="inlineStr">
        <is>
          <t>OP-000015</t>
        </is>
      </c>
      <c r="C16" s="12" t="n">
        <v>46128</v>
      </c>
      <c r="D16" s="13" t="n">
        <v>0.4270833333333333</v>
      </c>
      <c r="E16" t="inlineStr">
        <is>
          <t>C-0016</t>
        </is>
      </c>
      <c r="F16" t="inlineStr">
        <is>
          <t>Cliente 16</t>
        </is>
      </c>
      <c r="G16" t="inlineStr">
        <is>
          <t>P-500</t>
        </is>
      </c>
      <c r="H16" t="inlineStr">
        <is>
          <t>Dock</t>
        </is>
      </c>
      <c r="I16" t="inlineStr">
        <is>
          <t>Tecnologia</t>
        </is>
      </c>
      <c r="J16" t="inlineStr">
        <is>
          <t>Sur</t>
        </is>
      </c>
      <c r="K16" t="inlineStr">
        <is>
          <t>SUC-08</t>
        </is>
      </c>
      <c r="L16" t="inlineStr">
        <is>
          <t>Digital</t>
        </is>
      </c>
      <c r="M16" t="inlineStr">
        <is>
          <t>En revision</t>
        </is>
      </c>
      <c r="N16" t="inlineStr">
        <is>
          <t>Baja</t>
        </is>
      </c>
      <c r="O16" t="n">
        <v>46</v>
      </c>
      <c r="P16" s="14" t="n">
        <v>2555</v>
      </c>
      <c r="Q16" s="15" t="n">
        <v>0.15</v>
      </c>
      <c r="R16" s="14" t="n">
        <v>1584.1</v>
      </c>
      <c r="S16" s="12" t="n">
        <v>46140</v>
      </c>
      <c r="T16" s="12" t="n">
        <v>46131</v>
      </c>
      <c r="U16" t="inlineStr">
        <is>
          <t>Resp 4</t>
        </is>
      </c>
      <c r="V16" t="inlineStr">
        <is>
          <t>archivo_04.csv</t>
        </is>
      </c>
      <c r="W16" s="14" t="n">
        <v>117530</v>
      </c>
      <c r="X16" s="14" t="n">
        <v>17629.5</v>
      </c>
      <c r="Y16" s="14" t="n">
        <v>99900.5</v>
      </c>
      <c r="Z16" s="14" t="n">
        <v>72868.59999999999</v>
      </c>
      <c r="AA16" s="14" t="n">
        <v>27031.90000000001</v>
      </c>
      <c r="AB16" s="15" t="n">
        <v>0.2705882352941177</v>
      </c>
      <c r="AC16" t="n">
        <v>3</v>
      </c>
      <c r="AD16" t="inlineStr">
        <is>
          <t>SUR|OP-000015|20260416|P-500</t>
        </is>
      </c>
      <c r="AE16" t="n">
        <v>1</v>
      </c>
    </row>
    <row r="17">
      <c r="A17" t="n">
        <v>16</v>
      </c>
      <c r="B17" t="inlineStr">
        <is>
          <t>OP-000016</t>
        </is>
      </c>
      <c r="C17" s="12" t="n">
        <v>46135</v>
      </c>
      <c r="D17" s="13" t="n">
        <v>0.4722222222222222</v>
      </c>
      <c r="E17" t="inlineStr">
        <is>
          <t>C-0017</t>
        </is>
      </c>
      <c r="F17" t="inlineStr">
        <is>
          <t>Cliente 17</t>
        </is>
      </c>
      <c r="G17" t="inlineStr">
        <is>
          <t>P-100</t>
        </is>
      </c>
      <c r="H17" t="inlineStr">
        <is>
          <t>Monitor 24</t>
        </is>
      </c>
      <c r="I17" t="inlineStr">
        <is>
          <t>Tecnologia</t>
        </is>
      </c>
      <c r="J17" t="inlineStr">
        <is>
          <t>Pacifico</t>
        </is>
      </c>
      <c r="K17" t="inlineStr">
        <is>
          <t>SUC-01</t>
        </is>
      </c>
      <c r="L17" t="inlineStr">
        <is>
          <t>Tienda</t>
        </is>
      </c>
      <c r="M17" t="inlineStr">
        <is>
          <t>Aprobado</t>
        </is>
      </c>
      <c r="N17" t="inlineStr">
        <is>
          <t>Critica</t>
        </is>
      </c>
      <c r="O17" t="n">
        <v>2</v>
      </c>
      <c r="P17" s="14" t="n">
        <v>2692</v>
      </c>
      <c r="Q17" s="15" t="n">
        <v>0</v>
      </c>
      <c r="R17" s="14" t="n">
        <v>1480.6</v>
      </c>
      <c r="S17" s="12" t="n">
        <v>46148</v>
      </c>
      <c r="T17" s="12" t="n">
        <v>46139</v>
      </c>
      <c r="U17" t="inlineStr">
        <is>
          <t>Resp 5</t>
        </is>
      </c>
      <c r="V17" t="inlineStr">
        <is>
          <t>archivo_05.csv</t>
        </is>
      </c>
      <c r="W17" s="14" t="n">
        <v>5384</v>
      </c>
      <c r="X17" s="14" t="n">
        <v>0</v>
      </c>
      <c r="Y17" s="14" t="n">
        <v>5384</v>
      </c>
      <c r="Z17" s="14" t="n">
        <v>2961.2</v>
      </c>
      <c r="AA17" s="14" t="n">
        <v>2422.8</v>
      </c>
      <c r="AB17" s="15" t="n">
        <v>0.45</v>
      </c>
      <c r="AC17" t="n">
        <v>4</v>
      </c>
      <c r="AD17" t="inlineStr">
        <is>
          <t>PACIFICO|OP-000016|20260423|P-100</t>
        </is>
      </c>
      <c r="AE17" t="n">
        <v>1</v>
      </c>
    </row>
    <row r="18">
      <c r="A18" t="n">
        <v>17</v>
      </c>
      <c r="B18" t="inlineStr">
        <is>
          <t>OP-000017</t>
        </is>
      </c>
      <c r="C18" s="12" t="n">
        <v>46142</v>
      </c>
      <c r="D18" s="13" t="n">
        <v>0.5173611111111112</v>
      </c>
      <c r="E18" t="inlineStr">
        <is>
          <t>C-0018</t>
        </is>
      </c>
      <c r="F18" t="inlineStr">
        <is>
          <t>Cliente 18</t>
        </is>
      </c>
      <c r="G18" t="inlineStr">
        <is>
          <t>P-200</t>
        </is>
      </c>
      <c r="H18" t="inlineStr">
        <is>
          <t>Teclado</t>
        </is>
      </c>
      <c r="I18" t="inlineStr">
        <is>
          <t>Tecnologia</t>
        </is>
      </c>
      <c r="J18" t="inlineStr">
        <is>
          <t>Norte</t>
        </is>
      </c>
      <c r="K18" t="inlineStr">
        <is>
          <t>SUC-02</t>
        </is>
      </c>
      <c r="L18" t="inlineStr">
        <is>
          <t>Distribuidor</t>
        </is>
      </c>
      <c r="M18" t="inlineStr">
        <is>
          <t>Pendiente</t>
        </is>
      </c>
      <c r="N18" t="inlineStr">
        <is>
          <t>Alta</t>
        </is>
      </c>
      <c r="O18" t="n">
        <v>5</v>
      </c>
      <c r="P18" s="14" t="n">
        <v>2829</v>
      </c>
      <c r="Q18" s="15" t="n">
        <v>0.05</v>
      </c>
      <c r="R18" s="14" t="n">
        <v>1584.24</v>
      </c>
      <c r="S18" s="12" t="n">
        <v>46156</v>
      </c>
      <c r="T18" s="12" t="n">
        <v>46147</v>
      </c>
      <c r="U18" t="inlineStr">
        <is>
          <t>Resp 6</t>
        </is>
      </c>
      <c r="V18" t="inlineStr">
        <is>
          <t>archivo_06.csv</t>
        </is>
      </c>
      <c r="W18" s="14" t="n">
        <v>14145</v>
      </c>
      <c r="X18" s="14" t="n">
        <v>707.25</v>
      </c>
      <c r="Y18" s="14" t="n">
        <v>13437.75</v>
      </c>
      <c r="Z18" s="14" t="n">
        <v>7921.2</v>
      </c>
      <c r="AA18" s="14" t="n">
        <v>5516.55</v>
      </c>
      <c r="AB18" s="15" t="n">
        <v>0.4105263157894737</v>
      </c>
      <c r="AC18" t="n">
        <v>5</v>
      </c>
      <c r="AD18" t="inlineStr">
        <is>
          <t>NORTE|OP-000017|20260430|P-200</t>
        </is>
      </c>
      <c r="AE18" t="n">
        <v>1</v>
      </c>
    </row>
    <row r="19">
      <c r="A19" t="n">
        <v>18</v>
      </c>
      <c r="B19" t="inlineStr">
        <is>
          <t>OP-000018</t>
        </is>
      </c>
      <c r="C19" s="12" t="n">
        <v>46149</v>
      </c>
      <c r="D19" s="13" t="n">
        <v>0.5625</v>
      </c>
      <c r="E19" t="inlineStr">
        <is>
          <t>C-0019</t>
        </is>
      </c>
      <c r="F19" t="inlineStr">
        <is>
          <t>Cliente 19</t>
        </is>
      </c>
      <c r="G19" t="inlineStr">
        <is>
          <t>P-300</t>
        </is>
      </c>
      <c r="H19" t="inlineStr">
        <is>
          <t>Mouse</t>
        </is>
      </c>
      <c r="I19" t="inlineStr">
        <is>
          <t>Tecnologia</t>
        </is>
      </c>
      <c r="J19" t="inlineStr">
        <is>
          <t>Centro</t>
        </is>
      </c>
      <c r="K19" t="inlineStr">
        <is>
          <t>SUC-03</t>
        </is>
      </c>
      <c r="L19" t="inlineStr">
        <is>
          <t>Digital</t>
        </is>
      </c>
      <c r="M19" t="inlineStr">
        <is>
          <t>Cancelado</t>
        </is>
      </c>
      <c r="N19" t="inlineStr">
        <is>
          <t>Media</t>
        </is>
      </c>
      <c r="O19" t="n">
        <v>8</v>
      </c>
      <c r="P19" s="14" t="n">
        <v>2966</v>
      </c>
      <c r="Q19" s="15" t="n">
        <v>0.1</v>
      </c>
      <c r="R19" s="14" t="n">
        <v>1690.62</v>
      </c>
      <c r="S19" s="12" t="n">
        <v>46164</v>
      </c>
      <c r="T19" s="12" t="n">
        <v>46155</v>
      </c>
      <c r="U19" t="inlineStr">
        <is>
          <t>Resp 7</t>
        </is>
      </c>
      <c r="V19" t="inlineStr">
        <is>
          <t>archivo_01.csv</t>
        </is>
      </c>
      <c r="W19" s="14" t="n">
        <v>23728</v>
      </c>
      <c r="X19" s="14" t="n">
        <v>2372.8</v>
      </c>
      <c r="Y19" s="14" t="n">
        <v>21355.2</v>
      </c>
      <c r="Z19" s="14" t="n">
        <v>13524.96</v>
      </c>
      <c r="AA19" s="14" t="n">
        <v>7830.240000000002</v>
      </c>
      <c r="AB19" s="15" t="n">
        <v>0.3666666666666668</v>
      </c>
      <c r="AC19" t="n">
        <v>6</v>
      </c>
      <c r="AD19" t="inlineStr">
        <is>
          <t>CENTRO|OP-000018|20260507|P-300</t>
        </is>
      </c>
      <c r="AE19" t="n">
        <v>1</v>
      </c>
    </row>
    <row r="20">
      <c r="A20" t="n">
        <v>19</v>
      </c>
      <c r="B20" t="inlineStr">
        <is>
          <t>OP-000019</t>
        </is>
      </c>
      <c r="C20" s="12" t="n">
        <v>46156</v>
      </c>
      <c r="D20" s="13" t="n">
        <v>0.6076388888888888</v>
      </c>
      <c r="E20" t="inlineStr">
        <is>
          <t>C-0020</t>
        </is>
      </c>
      <c r="F20" t="inlineStr">
        <is>
          <t>Cliente 20</t>
        </is>
      </c>
      <c r="G20" t="inlineStr">
        <is>
          <t>P-400</t>
        </is>
      </c>
      <c r="H20" t="inlineStr">
        <is>
          <t>Laptop</t>
        </is>
      </c>
      <c r="I20" t="inlineStr">
        <is>
          <t>Tecnologia</t>
        </is>
      </c>
      <c r="J20" t="inlineStr">
        <is>
          <t>Sur</t>
        </is>
      </c>
      <c r="K20" t="inlineStr">
        <is>
          <t>SUC-04</t>
        </is>
      </c>
      <c r="L20" t="inlineStr">
        <is>
          <t>Tienda</t>
        </is>
      </c>
      <c r="M20" t="inlineStr">
        <is>
          <t>En revision</t>
        </is>
      </c>
      <c r="N20" t="inlineStr">
        <is>
          <t>Baja</t>
        </is>
      </c>
      <c r="O20" t="n">
        <v>11</v>
      </c>
      <c r="P20" s="14" t="inlineStr">
        <is>
          <t>3103</t>
        </is>
      </c>
      <c r="Q20" s="15" t="n">
        <v>0.15</v>
      </c>
      <c r="R20" s="14" t="n">
        <v>1799.74</v>
      </c>
      <c r="S20" s="12" t="n">
        <v>46172</v>
      </c>
      <c r="T20" s="12" t="n">
        <v>46163</v>
      </c>
      <c r="U20" t="inlineStr">
        <is>
          <t>Resp 8</t>
        </is>
      </c>
      <c r="V20" t="inlineStr">
        <is>
          <t>archivo_02.csv</t>
        </is>
      </c>
      <c r="W20" s="14" t="n"/>
      <c r="X20" s="14" t="n"/>
      <c r="Y20" s="14" t="n"/>
      <c r="Z20" s="14" t="n">
        <v>19797.14</v>
      </c>
      <c r="AA20" s="14" t="n"/>
      <c r="AB20" s="15" t="n">
        <v>0</v>
      </c>
      <c r="AC20" t="n">
        <v>7</v>
      </c>
      <c r="AD20" t="inlineStr">
        <is>
          <t>SUR|OP-000019|20260514|P-400</t>
        </is>
      </c>
      <c r="AE20" t="n">
        <v>1</v>
      </c>
    </row>
    <row r="21">
      <c r="A21" t="n">
        <v>20</v>
      </c>
      <c r="B21" t="inlineStr">
        <is>
          <t>OP-000020</t>
        </is>
      </c>
      <c r="C21" s="12" t="n">
        <v>46163</v>
      </c>
      <c r="D21" s="13" t="n">
        <v>0.6527777777777778</v>
      </c>
      <c r="E21" t="inlineStr">
        <is>
          <t>C-0021</t>
        </is>
      </c>
      <c r="F21" t="inlineStr">
        <is>
          <t>Cliente 21</t>
        </is>
      </c>
      <c r="G21" t="inlineStr">
        <is>
          <t>P-500</t>
        </is>
      </c>
      <c r="H21" t="inlineStr">
        <is>
          <t>Dock</t>
        </is>
      </c>
      <c r="I21" t="inlineStr">
        <is>
          <t>Tecnologia</t>
        </is>
      </c>
      <c r="J21" t="inlineStr">
        <is>
          <t>Pacifico</t>
        </is>
      </c>
      <c r="K21" t="inlineStr">
        <is>
          <t>SUC-05</t>
        </is>
      </c>
      <c r="L21" t="inlineStr">
        <is>
          <t>Distribuidor</t>
        </is>
      </c>
      <c r="M21" t="inlineStr">
        <is>
          <t>Aprobado</t>
        </is>
      </c>
      <c r="N21" t="inlineStr">
        <is>
          <t>Critica</t>
        </is>
      </c>
      <c r="O21" t="n">
        <v>14</v>
      </c>
      <c r="P21" s="14" t="n">
        <v>3240</v>
      </c>
      <c r="Q21" s="15" t="n">
        <v>0</v>
      </c>
      <c r="R21" s="14" t="n">
        <v>1911.6</v>
      </c>
      <c r="S21" s="12" t="n">
        <v>46170</v>
      </c>
      <c r="T21" s="12" t="n">
        <v>46171</v>
      </c>
      <c r="U21" t="inlineStr">
        <is>
          <t>Resp 9</t>
        </is>
      </c>
      <c r="V21" t="inlineStr">
        <is>
          <t>archivo_03.csv</t>
        </is>
      </c>
      <c r="W21" s="14" t="n">
        <v>45360</v>
      </c>
      <c r="X21" s="14" t="n">
        <v>0</v>
      </c>
      <c r="Y21" s="14" t="n">
        <v>45360</v>
      </c>
      <c r="Z21" s="14" t="n">
        <v>26762.4</v>
      </c>
      <c r="AA21" s="14" t="n">
        <v>18597.6</v>
      </c>
      <c r="AB21" s="15" t="n">
        <v>0.41</v>
      </c>
      <c r="AC21" t="n">
        <v>8</v>
      </c>
      <c r="AD21" t="inlineStr">
        <is>
          <t>PACIFICO|OP-000020|20260521|P-500</t>
        </is>
      </c>
      <c r="AE21" t="n">
        <v>1</v>
      </c>
    </row>
    <row r="22">
      <c r="A22" t="n">
        <v>21</v>
      </c>
      <c r="B22" t="inlineStr">
        <is>
          <t>OP-000021</t>
        </is>
      </c>
      <c r="C22" s="12" t="n">
        <v>46170</v>
      </c>
      <c r="D22" s="13" t="n">
        <v>0.6979166666666666</v>
      </c>
      <c r="E22" t="inlineStr">
        <is>
          <t>C-0022</t>
        </is>
      </c>
      <c r="F22" t="inlineStr">
        <is>
          <t>Cliente 22</t>
        </is>
      </c>
      <c r="G22" t="inlineStr">
        <is>
          <t>P-100</t>
        </is>
      </c>
      <c r="H22" t="inlineStr">
        <is>
          <t>Monitor 24</t>
        </is>
      </c>
      <c r="I22" t="inlineStr">
        <is>
          <t>Tecnologia</t>
        </is>
      </c>
      <c r="J22" t="inlineStr">
        <is>
          <t>Norte</t>
        </is>
      </c>
      <c r="K22" t="inlineStr">
        <is>
          <t>SUC-06</t>
        </is>
      </c>
      <c r="L22" t="inlineStr">
        <is>
          <t>Digital</t>
        </is>
      </c>
      <c r="M22" t="inlineStr">
        <is>
          <t>Pendiente</t>
        </is>
      </c>
      <c r="N22" t="inlineStr">
        <is>
          <t>Alta</t>
        </is>
      </c>
      <c r="O22" t="n">
        <v>17</v>
      </c>
      <c r="P22" s="14" t="n">
        <v>3377</v>
      </c>
      <c r="Q22" s="15" t="n">
        <v>0.05</v>
      </c>
      <c r="R22" s="14" t="n">
        <v>2026.2</v>
      </c>
      <c r="S22" s="12" t="n">
        <v>46178</v>
      </c>
      <c r="T22" s="12" t="n">
        <v>46179</v>
      </c>
      <c r="U22" t="inlineStr">
        <is>
          <t>Resp 10</t>
        </is>
      </c>
      <c r="V22" t="inlineStr">
        <is>
          <t>archivo_04.csv</t>
        </is>
      </c>
      <c r="W22" s="14" t="n">
        <v>57409</v>
      </c>
      <c r="X22" s="14" t="n">
        <v>2870.45</v>
      </c>
      <c r="Y22" s="14" t="n">
        <v>54538.55</v>
      </c>
      <c r="Z22" s="14" t="n">
        <v>34445.4</v>
      </c>
      <c r="AA22" s="14" t="n">
        <v>20093.15</v>
      </c>
      <c r="AB22" s="15" t="n">
        <v>0.3684210526315789</v>
      </c>
      <c r="AC22" t="n">
        <v>9</v>
      </c>
      <c r="AD22" t="inlineStr">
        <is>
          <t>NORTE|OP-000021|20260528|P-100</t>
        </is>
      </c>
      <c r="AE22" t="n">
        <v>1</v>
      </c>
    </row>
    <row r="23">
      <c r="A23" t="n">
        <v>22</v>
      </c>
      <c r="B23" t="inlineStr">
        <is>
          <t>OP-000022</t>
        </is>
      </c>
      <c r="C23" s="12" t="n">
        <v>46177</v>
      </c>
      <c r="D23" s="13" t="n">
        <v>0.7430555555555556</v>
      </c>
      <c r="E23" t="inlineStr">
        <is>
          <t>C-0023</t>
        </is>
      </c>
      <c r="F23" t="inlineStr">
        <is>
          <t>Cliente 23</t>
        </is>
      </c>
      <c r="G23" t="inlineStr">
        <is>
          <t>P-200</t>
        </is>
      </c>
      <c r="H23" t="inlineStr">
        <is>
          <t>Teclado</t>
        </is>
      </c>
      <c r="I23" t="inlineStr">
        <is>
          <t>Tecnologia</t>
        </is>
      </c>
      <c r="J23" t="inlineStr">
        <is>
          <t>Centro</t>
        </is>
      </c>
      <c r="K23" t="inlineStr">
        <is>
          <t>SUC-07</t>
        </is>
      </c>
      <c r="L23" t="inlineStr">
        <is>
          <t>Tienda</t>
        </is>
      </c>
      <c r="M23" t="inlineStr">
        <is>
          <t>Cancelado</t>
        </is>
      </c>
      <c r="N23" t="inlineStr">
        <is>
          <t>Media</t>
        </is>
      </c>
      <c r="O23" t="n">
        <v>20</v>
      </c>
      <c r="P23" s="14" t="n">
        <v>3514</v>
      </c>
      <c r="Q23" s="15" t="n">
        <v>0.1</v>
      </c>
      <c r="R23" s="14" t="n">
        <v>2143.54</v>
      </c>
      <c r="S23" s="12" t="n">
        <v>46186</v>
      </c>
      <c r="T23" s="12" t="n">
        <v>46187</v>
      </c>
      <c r="U23" t="inlineStr">
        <is>
          <t>Resp 11</t>
        </is>
      </c>
      <c r="V23" t="inlineStr">
        <is>
          <t>archivo_05.csv</t>
        </is>
      </c>
      <c r="W23" s="14" t="n">
        <v>70280</v>
      </c>
      <c r="X23" s="14" t="n">
        <v>7028</v>
      </c>
      <c r="Y23" s="14" t="n">
        <v>63252</v>
      </c>
      <c r="Z23" s="14" t="n">
        <v>42870.8</v>
      </c>
      <c r="AA23" s="14" t="n">
        <v>20381.2</v>
      </c>
      <c r="AB23" s="15" t="n">
        <v>0.3222222222222222</v>
      </c>
      <c r="AC23" t="n">
        <v>10</v>
      </c>
      <c r="AD23" t="inlineStr">
        <is>
          <t>CENTRO|OP-000022|20260604|P-200</t>
        </is>
      </c>
      <c r="AE23" t="n">
        <v>1</v>
      </c>
    </row>
    <row r="24">
      <c r="A24" t="n">
        <v>23</v>
      </c>
      <c r="B24" t="inlineStr">
        <is>
          <t>OP-000023</t>
        </is>
      </c>
      <c r="C24" s="12" t="n">
        <v>46184</v>
      </c>
      <c r="D24" s="13" t="n">
        <v>0.7881944444444444</v>
      </c>
      <c r="E24" t="inlineStr">
        <is>
          <t>C-0024</t>
        </is>
      </c>
      <c r="F24" t="inlineStr">
        <is>
          <t>Cliente 24</t>
        </is>
      </c>
      <c r="G24" t="inlineStr">
        <is>
          <t>P-300</t>
        </is>
      </c>
      <c r="H24" t="inlineStr">
        <is>
          <t>Mouse</t>
        </is>
      </c>
      <c r="I24" t="inlineStr">
        <is>
          <t>Tecnologia</t>
        </is>
      </c>
      <c r="J24" t="inlineStr">
        <is>
          <t>Sur</t>
        </is>
      </c>
      <c r="K24" t="inlineStr">
        <is>
          <t>SUC-08</t>
        </is>
      </c>
      <c r="L24" t="inlineStr">
        <is>
          <t>Distribuidor</t>
        </is>
      </c>
      <c r="M24" t="inlineStr">
        <is>
          <t>En revision</t>
        </is>
      </c>
      <c r="N24" t="inlineStr">
        <is>
          <t>Baja</t>
        </is>
      </c>
      <c r="O24" t="n">
        <v>23</v>
      </c>
      <c r="P24" s="14" t="n">
        <v>3651</v>
      </c>
      <c r="Q24" s="15" t="n">
        <v>15</v>
      </c>
      <c r="R24" s="14" t="n">
        <v>2263.62</v>
      </c>
      <c r="S24" s="12" t="n">
        <v>46194</v>
      </c>
      <c r="T24" s="12" t="n">
        <v>46195</v>
      </c>
      <c r="U24" t="inlineStr">
        <is>
          <t>Resp 12</t>
        </is>
      </c>
      <c r="V24" t="inlineStr">
        <is>
          <t>archivo_06.csv</t>
        </is>
      </c>
      <c r="W24" s="14" t="n">
        <v>83973</v>
      </c>
      <c r="X24" s="14" t="n">
        <v>1259595</v>
      </c>
      <c r="Y24" s="14" t="n">
        <v>-1175622</v>
      </c>
      <c r="Z24" s="14" t="n">
        <v>52063.25999999999</v>
      </c>
      <c r="AA24" s="14" t="n">
        <v>-1227685.26</v>
      </c>
      <c r="AB24" s="15" t="n">
        <v>1.044285714285714</v>
      </c>
      <c r="AC24" t="n">
        <v>11</v>
      </c>
      <c r="AD24" t="inlineStr">
        <is>
          <t>SUR|OP-000023|20260611|P-300</t>
        </is>
      </c>
      <c r="AE24" t="n">
        <v>1</v>
      </c>
    </row>
    <row r="25">
      <c r="A25" t="n">
        <v>24</v>
      </c>
      <c r="B25" t="inlineStr">
        <is>
          <t>OP-000024</t>
        </is>
      </c>
      <c r="C25" s="12" t="n">
        <v>46191</v>
      </c>
      <c r="D25" s="13" t="n">
        <v>0.2916666666666667</v>
      </c>
      <c r="E25" t="inlineStr">
        <is>
          <t>C-0025</t>
        </is>
      </c>
      <c r="F25" t="inlineStr">
        <is>
          <t>Cliente 25</t>
        </is>
      </c>
      <c r="G25" t="inlineStr">
        <is>
          <t>P-400</t>
        </is>
      </c>
      <c r="H25" t="inlineStr">
        <is>
          <t>Laptop</t>
        </is>
      </c>
      <c r="I25" t="inlineStr">
        <is>
          <t>Tecnologia</t>
        </is>
      </c>
      <c r="J25" t="inlineStr">
        <is>
          <t>Pacifico</t>
        </is>
      </c>
      <c r="K25" t="inlineStr">
        <is>
          <t>SUC-01</t>
        </is>
      </c>
      <c r="L25" t="inlineStr">
        <is>
          <t>Digital</t>
        </is>
      </c>
      <c r="M25" t="inlineStr">
        <is>
          <t>Aprobado</t>
        </is>
      </c>
      <c r="N25" t="inlineStr">
        <is>
          <t>Critica</t>
        </is>
      </c>
      <c r="O25" t="n">
        <v>26</v>
      </c>
      <c r="P25" s="14" t="n">
        <v>3788</v>
      </c>
      <c r="Q25" s="15" t="n">
        <v>0</v>
      </c>
      <c r="R25" s="14" t="n">
        <v>2083.4</v>
      </c>
      <c r="S25" s="12" t="n">
        <v>46202</v>
      </c>
      <c r="T25" s="12" t="n">
        <v>46203</v>
      </c>
      <c r="U25" t="inlineStr">
        <is>
          <t>Resp 1</t>
        </is>
      </c>
      <c r="V25" t="inlineStr">
        <is>
          <t>archivo_01.csv</t>
        </is>
      </c>
      <c r="W25" s="14" t="n">
        <v>98488</v>
      </c>
      <c r="X25" s="14" t="n">
        <v>0</v>
      </c>
      <c r="Y25" s="14" t="n">
        <v>98488</v>
      </c>
      <c r="Z25" s="14" t="n">
        <v>54168.4</v>
      </c>
      <c r="AA25" s="14" t="n">
        <v>44319.6</v>
      </c>
      <c r="AB25" s="15" t="n">
        <v>0.45</v>
      </c>
      <c r="AC25" t="n">
        <v>12</v>
      </c>
      <c r="AD25" t="inlineStr">
        <is>
          <t>PACIFICO|OP-000024|20260618|P-400</t>
        </is>
      </c>
      <c r="AE25" t="n">
        <v>1</v>
      </c>
    </row>
    <row r="26">
      <c r="A26" t="n">
        <v>25</v>
      </c>
      <c r="B26" t="inlineStr">
        <is>
          <t>OP-000025</t>
        </is>
      </c>
      <c r="C26" s="12" t="n">
        <v>46198</v>
      </c>
      <c r="D26" s="13" t="n">
        <v>0.3368055555555556</v>
      </c>
      <c r="E26" t="inlineStr">
        <is>
          <t>C-0026</t>
        </is>
      </c>
      <c r="F26" t="inlineStr">
        <is>
          <t>Cliente 26</t>
        </is>
      </c>
      <c r="G26" t="inlineStr">
        <is>
          <t>P-500</t>
        </is>
      </c>
      <c r="H26" t="inlineStr">
        <is>
          <t>Dock</t>
        </is>
      </c>
      <c r="I26" t="inlineStr">
        <is>
          <t>Tecnologia</t>
        </is>
      </c>
      <c r="J26" t="inlineStr">
        <is>
          <t>Norte</t>
        </is>
      </c>
      <c r="K26" t="inlineStr">
        <is>
          <t>SUC-02</t>
        </is>
      </c>
      <c r="L26" t="inlineStr">
        <is>
          <t>Tienda</t>
        </is>
      </c>
      <c r="M26" t="inlineStr">
        <is>
          <t>Pendiente</t>
        </is>
      </c>
      <c r="N26" t="inlineStr">
        <is>
          <t>Alta</t>
        </is>
      </c>
      <c r="O26" t="n">
        <v>29</v>
      </c>
      <c r="P26" s="14" t="n">
        <v>3925</v>
      </c>
      <c r="Q26" s="15" t="n">
        <v>0.05</v>
      </c>
      <c r="R26" s="14" t="n">
        <v>2198</v>
      </c>
      <c r="S26" s="12" t="n">
        <v>46210</v>
      </c>
      <c r="T26" s="12" t="n">
        <v>46211</v>
      </c>
      <c r="U26" t="inlineStr">
        <is>
          <t>Resp 2</t>
        </is>
      </c>
      <c r="V26" t="inlineStr">
        <is>
          <t>archivo_02.csv</t>
        </is>
      </c>
      <c r="W26" s="14" t="n">
        <v>113825</v>
      </c>
      <c r="X26" s="14" t="n">
        <v>5691.25</v>
      </c>
      <c r="Y26" s="14" t="n">
        <v>108133.75</v>
      </c>
      <c r="Z26" s="14" t="n">
        <v>63742</v>
      </c>
      <c r="AA26" s="14" t="n">
        <v>44391.75</v>
      </c>
      <c r="AB26" s="15" t="n">
        <v>0.4105263157894737</v>
      </c>
      <c r="AC26" t="n">
        <v>13</v>
      </c>
      <c r="AD26" t="inlineStr">
        <is>
          <t>NORTE|OP-000025|20260625|P-500</t>
        </is>
      </c>
      <c r="AE26" t="n">
        <v>1</v>
      </c>
    </row>
    <row r="27">
      <c r="A27" t="n">
        <v>26</v>
      </c>
      <c r="B27" t="inlineStr">
        <is>
          <t>OP-000026</t>
        </is>
      </c>
      <c r="C27" s="12" t="n">
        <v>46205</v>
      </c>
      <c r="D27" s="13" t="n">
        <v>0.3819444444444444</v>
      </c>
      <c r="E27" t="inlineStr">
        <is>
          <t>C-0027</t>
        </is>
      </c>
      <c r="F27" t="inlineStr">
        <is>
          <t>Cliente 27</t>
        </is>
      </c>
      <c r="G27" t="inlineStr">
        <is>
          <t>P-100</t>
        </is>
      </c>
      <c r="H27" t="inlineStr">
        <is>
          <t>Monitor 24</t>
        </is>
      </c>
      <c r="I27" t="inlineStr">
        <is>
          <t>Tecnologia</t>
        </is>
      </c>
      <c r="J27" t="inlineStr">
        <is>
          <t>Centro</t>
        </is>
      </c>
      <c r="K27" t="inlineStr">
        <is>
          <t>SUC-03</t>
        </is>
      </c>
      <c r="L27" t="inlineStr">
        <is>
          <t>Distribuidor</t>
        </is>
      </c>
      <c r="M27" t="inlineStr">
        <is>
          <t>Cancelado</t>
        </is>
      </c>
      <c r="N27" t="inlineStr">
        <is>
          <t>Media</t>
        </is>
      </c>
      <c r="O27" t="n">
        <v>32</v>
      </c>
      <c r="P27" s="14" t="n">
        <v>4062</v>
      </c>
      <c r="Q27" s="15" t="n">
        <v>0.1</v>
      </c>
      <c r="R27" s="14" t="n">
        <v>2315.34</v>
      </c>
      <c r="S27" s="12" t="n">
        <v>46218</v>
      </c>
      <c r="T27" s="12" t="n">
        <v>46219</v>
      </c>
      <c r="U27" t="inlineStr">
        <is>
          <t>Resp 3</t>
        </is>
      </c>
      <c r="V27" t="inlineStr">
        <is>
          <t>archivo_03.csv</t>
        </is>
      </c>
      <c r="W27" s="14" t="n">
        <v>129984</v>
      </c>
      <c r="X27" s="14" t="n">
        <v>12998.4</v>
      </c>
      <c r="Y27" s="14" t="n">
        <v>116985.6</v>
      </c>
      <c r="Z27" s="14" t="n">
        <v>74090.88</v>
      </c>
      <c r="AA27" s="14" t="n">
        <v>42894.72</v>
      </c>
      <c r="AB27" s="15" t="n">
        <v>0.3666666666666666</v>
      </c>
      <c r="AC27" t="n">
        <v>14</v>
      </c>
      <c r="AD27" t="inlineStr">
        <is>
          <t>CENTRO|OP-000026|20260702|P-100</t>
        </is>
      </c>
      <c r="AE27" t="n">
        <v>1</v>
      </c>
    </row>
    <row r="28">
      <c r="A28" t="n">
        <v>27</v>
      </c>
      <c r="B28" t="inlineStr">
        <is>
          <t>OP-000027</t>
        </is>
      </c>
      <c r="C28" s="12" t="n">
        <v>46212</v>
      </c>
      <c r="D28" s="13" t="n">
        <v>0.4270833333333333</v>
      </c>
      <c r="E28" t="inlineStr">
        <is>
          <t>C-0028</t>
        </is>
      </c>
      <c r="F28" t="inlineStr">
        <is>
          <t>Cliente 28</t>
        </is>
      </c>
      <c r="G28" t="inlineStr">
        <is>
          <t>P-200</t>
        </is>
      </c>
      <c r="H28" t="inlineStr">
        <is>
          <t>Teclado</t>
        </is>
      </c>
      <c r="I28" t="inlineStr">
        <is>
          <t>Tecnologia</t>
        </is>
      </c>
      <c r="J28" t="inlineStr">
        <is>
          <t>Sur</t>
        </is>
      </c>
      <c r="K28" t="inlineStr">
        <is>
          <t>SUC-04</t>
        </is>
      </c>
      <c r="L28" t="inlineStr">
        <is>
          <t>Digital</t>
        </is>
      </c>
      <c r="M28" t="inlineStr">
        <is>
          <t>En revision</t>
        </is>
      </c>
      <c r="N28" t="inlineStr">
        <is>
          <t>Baja</t>
        </is>
      </c>
      <c r="O28" t="n">
        <v>35</v>
      </c>
      <c r="P28" s="14" t="n">
        <v>4199</v>
      </c>
      <c r="Q28" s="15" t="n">
        <v>0.15</v>
      </c>
      <c r="R28" s="14" t="n">
        <v>2435.42</v>
      </c>
      <c r="S28" s="12" t="n">
        <v>46226</v>
      </c>
      <c r="T28" s="12" t="n">
        <v>46227</v>
      </c>
      <c r="U28" t="inlineStr">
        <is>
          <t>Resp 4</t>
        </is>
      </c>
      <c r="V28" t="inlineStr">
        <is>
          <t>archivo_04.csv</t>
        </is>
      </c>
      <c r="W28" s="14" t="n">
        <v>146965</v>
      </c>
      <c r="X28" s="14" t="n">
        <v>22044.75</v>
      </c>
      <c r="Y28" s="14" t="n">
        <v>124920.25</v>
      </c>
      <c r="Z28" s="14" t="n">
        <v>85239.7</v>
      </c>
      <c r="AA28" s="14" t="n">
        <v>39680.55</v>
      </c>
      <c r="AB28" s="15" t="n">
        <v>0.3176470588235294</v>
      </c>
      <c r="AC28" t="n">
        <v>15</v>
      </c>
      <c r="AD28" t="inlineStr">
        <is>
          <t>SUR|OP-000027|20260709|P-200</t>
        </is>
      </c>
      <c r="AE28" t="n">
        <v>1</v>
      </c>
    </row>
    <row r="29">
      <c r="A29" t="n">
        <v>28</v>
      </c>
      <c r="B29" t="inlineStr">
        <is>
          <t>OP-000028</t>
        </is>
      </c>
      <c r="C29" s="12" t="n">
        <v>46219</v>
      </c>
      <c r="D29" s="13" t="n">
        <v>0.4722222222222222</v>
      </c>
      <c r="E29" t="inlineStr">
        <is>
          <t>C-0029</t>
        </is>
      </c>
      <c r="F29" t="inlineStr">
        <is>
          <t>Cliente 29</t>
        </is>
      </c>
      <c r="G29" t="inlineStr">
        <is>
          <t>P-300</t>
        </is>
      </c>
      <c r="H29" t="inlineStr">
        <is>
          <t>Mouse</t>
        </is>
      </c>
      <c r="I29" t="inlineStr">
        <is>
          <t>Tecnologia</t>
        </is>
      </c>
      <c r="J29" t="inlineStr">
        <is>
          <t>Pacifico</t>
        </is>
      </c>
      <c r="K29" t="inlineStr">
        <is>
          <t>SUC-05</t>
        </is>
      </c>
      <c r="L29" t="inlineStr">
        <is>
          <t>Tienda</t>
        </is>
      </c>
      <c r="M29" t="inlineStr">
        <is>
          <t>Aprobado</t>
        </is>
      </c>
      <c r="N29" t="inlineStr">
        <is>
          <t>Critica</t>
        </is>
      </c>
      <c r="O29" t="n">
        <v>38</v>
      </c>
      <c r="P29" s="14" t="n">
        <v>4336</v>
      </c>
      <c r="Q29" s="15" t="n">
        <v>0</v>
      </c>
      <c r="R29" s="14" t="n">
        <v>2558.24</v>
      </c>
      <c r="S29" s="12" t="n">
        <v>46234</v>
      </c>
      <c r="T29" s="12" t="n">
        <v>46235</v>
      </c>
      <c r="U29" t="inlineStr">
        <is>
          <t>Resp 5</t>
        </is>
      </c>
      <c r="V29" t="inlineStr">
        <is>
          <t>archivo_05.csv</t>
        </is>
      </c>
      <c r="W29" s="14" t="n">
        <v>164768</v>
      </c>
      <c r="X29" s="14" t="n">
        <v>0</v>
      </c>
      <c r="Y29" s="14" t="n">
        <v>164768</v>
      </c>
      <c r="Z29" s="14" t="n">
        <v>97213.12</v>
      </c>
      <c r="AA29" s="14" t="n">
        <v>67554.88</v>
      </c>
      <c r="AB29" s="15" t="n">
        <v>0.41</v>
      </c>
      <c r="AC29" t="n">
        <v>16</v>
      </c>
      <c r="AD29" t="inlineStr">
        <is>
          <t>PACIFICO|OP-000028|20260716|P-300</t>
        </is>
      </c>
      <c r="AE29" t="n">
        <v>1</v>
      </c>
    </row>
    <row r="30">
      <c r="A30" t="n">
        <v>29</v>
      </c>
      <c r="B30" t="inlineStr">
        <is>
          <t>OP-29</t>
        </is>
      </c>
      <c r="C30" s="12" t="n">
        <v>46226</v>
      </c>
      <c r="D30" s="13" t="n">
        <v>0.5173611111111112</v>
      </c>
      <c r="E30" t="inlineStr">
        <is>
          <t>C-0030</t>
        </is>
      </c>
      <c r="F30" t="inlineStr">
        <is>
          <t>Cliente 30</t>
        </is>
      </c>
      <c r="G30" t="inlineStr">
        <is>
          <t>P-400</t>
        </is>
      </c>
      <c r="H30" t="inlineStr">
        <is>
          <t>Laptop</t>
        </is>
      </c>
      <c r="I30" t="inlineStr">
        <is>
          <t>Tecnologia</t>
        </is>
      </c>
      <c r="J30" t="inlineStr">
        <is>
          <t>Norte</t>
        </is>
      </c>
      <c r="K30" t="inlineStr">
        <is>
          <t>SUC-06</t>
        </is>
      </c>
      <c r="L30" t="inlineStr">
        <is>
          <t>Distribuidor</t>
        </is>
      </c>
      <c r="M30" t="inlineStr">
        <is>
          <t>Pendiente</t>
        </is>
      </c>
      <c r="N30" t="inlineStr">
        <is>
          <t>Alta</t>
        </is>
      </c>
      <c r="O30" t="n">
        <v>41</v>
      </c>
      <c r="P30" s="14" t="n">
        <v>4473</v>
      </c>
      <c r="Q30" s="15" t="n">
        <v>0.05</v>
      </c>
      <c r="R30" s="14" t="n">
        <v>2683.8</v>
      </c>
      <c r="S30" s="12" t="n">
        <v>46242</v>
      </c>
      <c r="T30" s="12" t="n">
        <v>46243</v>
      </c>
      <c r="U30" t="inlineStr">
        <is>
          <t>Resp 6</t>
        </is>
      </c>
      <c r="V30" t="inlineStr">
        <is>
          <t>archivo_06.csv</t>
        </is>
      </c>
      <c r="W30" s="14" t="n">
        <v>183393</v>
      </c>
      <c r="X30" s="14" t="n">
        <v>9169.65</v>
      </c>
      <c r="Y30" s="14" t="n">
        <v>174223.35</v>
      </c>
      <c r="Z30" s="14" t="n">
        <v>110035.8</v>
      </c>
      <c r="AA30" s="14" t="n">
        <v>64187.55</v>
      </c>
      <c r="AB30" s="15" t="n">
        <v>0.3684210526315789</v>
      </c>
      <c r="AC30" t="n">
        <v>17</v>
      </c>
      <c r="AD30" t="inlineStr">
        <is>
          <t>NORTE|OP-29|20260723|P-400</t>
        </is>
      </c>
      <c r="AE30" t="n">
        <v>1</v>
      </c>
    </row>
    <row r="31">
      <c r="A31" t="n">
        <v>30</v>
      </c>
      <c r="B31" t="inlineStr">
        <is>
          <t>OP-000030</t>
        </is>
      </c>
      <c r="C31" s="12" t="n">
        <v>46233</v>
      </c>
      <c r="D31" s="13" t="n">
        <v>0.5625</v>
      </c>
      <c r="E31" t="inlineStr">
        <is>
          <t>C-0031</t>
        </is>
      </c>
      <c r="F31" t="inlineStr">
        <is>
          <t>Cliente 31</t>
        </is>
      </c>
      <c r="G31" t="inlineStr">
        <is>
          <t>P-500</t>
        </is>
      </c>
      <c r="H31" t="inlineStr">
        <is>
          <t>Dock</t>
        </is>
      </c>
      <c r="I31" t="inlineStr">
        <is>
          <t>Tecnologia</t>
        </is>
      </c>
      <c r="J31" t="inlineStr">
        <is>
          <t>Centro</t>
        </is>
      </c>
      <c r="K31" t="inlineStr">
        <is>
          <t>SUC-07</t>
        </is>
      </c>
      <c r="L31" t="inlineStr">
        <is>
          <t>Digital</t>
        </is>
      </c>
      <c r="M31" t="inlineStr">
        <is>
          <t>Cancelado</t>
        </is>
      </c>
      <c r="N31" t="inlineStr">
        <is>
          <t>Media</t>
        </is>
      </c>
      <c r="O31" t="n">
        <v>44</v>
      </c>
      <c r="P31" s="14" t="n">
        <v>4610</v>
      </c>
      <c r="Q31" s="15" t="n">
        <v>0.1</v>
      </c>
      <c r="R31" s="14" t="n">
        <v>2812.1</v>
      </c>
      <c r="S31" s="12" t="n">
        <v>46240</v>
      </c>
      <c r="T31" s="12" t="n">
        <v>46236</v>
      </c>
      <c r="U31" t="inlineStr">
        <is>
          <t>Resp 7</t>
        </is>
      </c>
      <c r="V31" t="inlineStr">
        <is>
          <t>archivo_01.csv</t>
        </is>
      </c>
      <c r="W31" s="14" t="n">
        <v>202840</v>
      </c>
      <c r="X31" s="14" t="n">
        <v>20284</v>
      </c>
      <c r="Y31" s="14" t="n">
        <v>182556</v>
      </c>
      <c r="Z31" s="14" t="n">
        <v>123732.4</v>
      </c>
      <c r="AA31" s="14" t="n">
        <v>58823.60000000001</v>
      </c>
      <c r="AB31" s="15" t="n">
        <v>0.3222222222222222</v>
      </c>
      <c r="AC31" t="n">
        <v>3</v>
      </c>
      <c r="AD31" t="inlineStr">
        <is>
          <t>CENTRO|OP-000030|20260730|P-500</t>
        </is>
      </c>
      <c r="AE31" t="n">
        <v>1</v>
      </c>
    </row>
    <row r="32">
      <c r="A32" t="n">
        <v>31</v>
      </c>
      <c r="B32" t="inlineStr">
        <is>
          <t>OP-000031</t>
        </is>
      </c>
      <c r="C32" s="12" t="n">
        <v>46240</v>
      </c>
      <c r="D32" s="13" t="n">
        <v>0.6076388888888888</v>
      </c>
      <c r="E32" t="inlineStr">
        <is>
          <t>C-0032</t>
        </is>
      </c>
      <c r="F32" t="inlineStr">
        <is>
          <t>Cliente 32</t>
        </is>
      </c>
      <c r="G32" t="inlineStr">
        <is>
          <t>P-100</t>
        </is>
      </c>
      <c r="H32" t="inlineStr">
        <is>
          <t>Monitor 24</t>
        </is>
      </c>
      <c r="I32" t="inlineStr">
        <is>
          <t>Tecnologia</t>
        </is>
      </c>
      <c r="J32" t="inlineStr">
        <is>
          <t xml:space="preserve"> Sur</t>
        </is>
      </c>
      <c r="K32" t="inlineStr">
        <is>
          <t>SUC-08</t>
        </is>
      </c>
      <c r="L32" t="inlineStr">
        <is>
          <t>Tienda</t>
        </is>
      </c>
      <c r="M32" t="inlineStr">
        <is>
          <t>En revision</t>
        </is>
      </c>
      <c r="N32" t="inlineStr">
        <is>
          <t>Baja</t>
        </is>
      </c>
      <c r="O32" t="n">
        <v>47</v>
      </c>
      <c r="P32" s="14" t="n">
        <v>4747</v>
      </c>
      <c r="Q32" s="15" t="n">
        <v>0.15</v>
      </c>
      <c r="R32" s="14" t="n">
        <v>2943.14</v>
      </c>
      <c r="S32" s="12" t="n">
        <v>46248</v>
      </c>
      <c r="T32" s="12" t="n">
        <v>46244</v>
      </c>
      <c r="U32" t="inlineStr">
        <is>
          <t>Resp 8</t>
        </is>
      </c>
      <c r="V32" t="inlineStr">
        <is>
          <t>archivo_02.csv</t>
        </is>
      </c>
      <c r="W32" s="14" t="n">
        <v>223109</v>
      </c>
      <c r="X32" s="14" t="n">
        <v>33466.35</v>
      </c>
      <c r="Y32" s="14" t="n">
        <v>189642.65</v>
      </c>
      <c r="Z32" s="14" t="n">
        <v>138327.58</v>
      </c>
      <c r="AA32" s="14" t="n">
        <v>51315.07000000001</v>
      </c>
      <c r="AB32" s="15" t="n">
        <v>0.2705882352941177</v>
      </c>
      <c r="AC32" t="n">
        <v>4</v>
      </c>
      <c r="AD32" t="inlineStr">
        <is>
          <t>SUR|OP-000031|20260806|P-100</t>
        </is>
      </c>
      <c r="AE32" t="n">
        <v>1</v>
      </c>
    </row>
    <row r="33">
      <c r="A33" t="n">
        <v>32</v>
      </c>
      <c r="B33" t="inlineStr">
        <is>
          <t>OP-000032</t>
        </is>
      </c>
      <c r="C33" s="12" t="n">
        <v>46247</v>
      </c>
      <c r="D33" s="13" t="n">
        <v>0.6527777777777778</v>
      </c>
      <c r="E33" t="inlineStr">
        <is>
          <t>C-0033</t>
        </is>
      </c>
      <c r="F33" t="inlineStr">
        <is>
          <t>Cliente 33</t>
        </is>
      </c>
      <c r="G33" t="inlineStr">
        <is>
          <t>P-200</t>
        </is>
      </c>
      <c r="H33" t="inlineStr">
        <is>
          <t>Teclado</t>
        </is>
      </c>
      <c r="I33" t="inlineStr">
        <is>
          <t>Tecnologia</t>
        </is>
      </c>
      <c r="J33" t="inlineStr">
        <is>
          <t>Pacifico</t>
        </is>
      </c>
      <c r="K33" t="inlineStr">
        <is>
          <t>SUC-01</t>
        </is>
      </c>
      <c r="L33" t="inlineStr">
        <is>
          <t>Distribuidor</t>
        </is>
      </c>
      <c r="M33" t="inlineStr">
        <is>
          <t>Aprobado</t>
        </is>
      </c>
      <c r="N33" t="inlineStr">
        <is>
          <t>Critica</t>
        </is>
      </c>
      <c r="O33" t="n">
        <v>3</v>
      </c>
      <c r="P33" s="14" t="n">
        <v>4884</v>
      </c>
      <c r="Q33" s="15" t="n">
        <v>0</v>
      </c>
      <c r="R33" s="14" t="n">
        <v>2686.2</v>
      </c>
      <c r="S33" s="12" t="n">
        <v>46256</v>
      </c>
      <c r="T33" s="12" t="n">
        <v>46252</v>
      </c>
      <c r="U33" t="inlineStr">
        <is>
          <t>Resp 9</t>
        </is>
      </c>
      <c r="V33" t="inlineStr">
        <is>
          <t>archivo_03.csv</t>
        </is>
      </c>
      <c r="W33" s="14" t="n">
        <v>14652</v>
      </c>
      <c r="X33" s="14" t="n">
        <v>0</v>
      </c>
      <c r="Y33" s="14" t="n">
        <v>14652</v>
      </c>
      <c r="Z33" s="14" t="n">
        <v>8058.599999999999</v>
      </c>
      <c r="AA33" s="14" t="n">
        <v>6593.400000000001</v>
      </c>
      <c r="AB33" s="15" t="n">
        <v>0.45</v>
      </c>
      <c r="AC33" t="n">
        <v>5</v>
      </c>
      <c r="AD33" t="inlineStr">
        <is>
          <t>PACIFICO|OP-000032|20260813|P-200</t>
        </is>
      </c>
      <c r="AE33" t="n">
        <v>1</v>
      </c>
    </row>
    <row r="34">
      <c r="A34" t="n">
        <v>33</v>
      </c>
      <c r="B34" t="inlineStr">
        <is>
          <t>OP-000033</t>
        </is>
      </c>
      <c r="C34" s="12" t="n">
        <v>46254</v>
      </c>
      <c r="D34" s="13" t="n">
        <v>0.6979166666666666</v>
      </c>
      <c r="E34" t="inlineStr">
        <is>
          <t>C-0034</t>
        </is>
      </c>
      <c r="F34" t="inlineStr">
        <is>
          <t>Cliente 34</t>
        </is>
      </c>
      <c r="G34" t="inlineStr">
        <is>
          <t>P-300</t>
        </is>
      </c>
      <c r="H34" t="inlineStr">
        <is>
          <t>Mouse</t>
        </is>
      </c>
      <c r="I34" t="inlineStr">
        <is>
          <t>Tecnologia</t>
        </is>
      </c>
      <c r="J34" t="inlineStr">
        <is>
          <t>Norte</t>
        </is>
      </c>
      <c r="K34" t="inlineStr">
        <is>
          <t>SUC-02</t>
        </is>
      </c>
      <c r="L34" t="inlineStr">
        <is>
          <t>Digital</t>
        </is>
      </c>
      <c r="M34" t="inlineStr">
        <is>
          <t>Pendiente</t>
        </is>
      </c>
      <c r="N34" t="inlineStr">
        <is>
          <t>Alta</t>
        </is>
      </c>
      <c r="O34" t="n">
        <v>6</v>
      </c>
      <c r="P34" s="14" t="n">
        <v>5021</v>
      </c>
      <c r="Q34" s="15" t="n">
        <v>0.05</v>
      </c>
      <c r="R34" s="14" t="n">
        <v>2811.76</v>
      </c>
      <c r="S34" s="12" t="n">
        <v>46264</v>
      </c>
      <c r="T34" s="12" t="n">
        <v>46260</v>
      </c>
      <c r="U34" t="inlineStr">
        <is>
          <t>Resp 10</t>
        </is>
      </c>
      <c r="V34" t="inlineStr">
        <is>
          <t>archivo_04.csv</t>
        </is>
      </c>
      <c r="W34" s="14" t="n">
        <v>30126</v>
      </c>
      <c r="X34" s="14" t="n">
        <v>1506.3</v>
      </c>
      <c r="Y34" s="14" t="n">
        <v>28619.7</v>
      </c>
      <c r="Z34" s="14" t="n">
        <v>16870.56</v>
      </c>
      <c r="AA34" s="14" t="n">
        <v>11749.14</v>
      </c>
      <c r="AB34" s="15" t="n">
        <v>0.4105263157894736</v>
      </c>
      <c r="AC34" t="n">
        <v>6</v>
      </c>
      <c r="AD34" t="inlineStr">
        <is>
          <t>NORTE|OP-000033|20260820|P-300</t>
        </is>
      </c>
      <c r="AE34" t="n">
        <v>1</v>
      </c>
    </row>
    <row r="35">
      <c r="A35" t="n">
        <v>34</v>
      </c>
      <c r="B35" t="inlineStr">
        <is>
          <t>OP-000034</t>
        </is>
      </c>
      <c r="C35" s="12" t="n">
        <v>46261</v>
      </c>
      <c r="D35" s="13" t="n">
        <v>0.7430555555555556</v>
      </c>
      <c r="E35" t="inlineStr">
        <is>
          <t>C-0035</t>
        </is>
      </c>
      <c r="F35" t="inlineStr">
        <is>
          <t>Cliente 35</t>
        </is>
      </c>
      <c r="G35" t="inlineStr">
        <is>
          <t>P-400</t>
        </is>
      </c>
      <c r="H35" t="inlineStr">
        <is>
          <t>Laptop</t>
        </is>
      </c>
      <c r="I35" t="inlineStr">
        <is>
          <t>Tecnologia</t>
        </is>
      </c>
      <c r="J35" t="inlineStr">
        <is>
          <t>Centro</t>
        </is>
      </c>
      <c r="K35" t="inlineStr">
        <is>
          <t>SUC-03</t>
        </is>
      </c>
      <c r="L35" t="inlineStr">
        <is>
          <t>Tienda</t>
        </is>
      </c>
      <c r="M35" t="inlineStr">
        <is>
          <t>Cancelado</t>
        </is>
      </c>
      <c r="N35" t="inlineStr">
        <is>
          <t>Media</t>
        </is>
      </c>
      <c r="O35" t="n">
        <v>9</v>
      </c>
      <c r="P35" s="14" t="n">
        <v>5158</v>
      </c>
      <c r="Q35" s="15" t="n">
        <v>0.1</v>
      </c>
      <c r="R35" s="14" t="n">
        <v>2940.06</v>
      </c>
      <c r="S35" s="12" t="n">
        <v>46272</v>
      </c>
      <c r="T35" s="12" t="n">
        <v>46268</v>
      </c>
      <c r="U35" t="inlineStr">
        <is>
          <t>Resp 11</t>
        </is>
      </c>
      <c r="V35" t="inlineStr">
        <is>
          <t>archivo_05.csv</t>
        </is>
      </c>
      <c r="W35" s="14" t="n">
        <v>46422</v>
      </c>
      <c r="X35" s="14" t="n">
        <v>4642.2</v>
      </c>
      <c r="Y35" s="14" t="n">
        <v>41779.8</v>
      </c>
      <c r="Z35" s="14" t="n">
        <v>26460.54</v>
      </c>
      <c r="AA35" s="14" t="n">
        <v>15319.26</v>
      </c>
      <c r="AB35" s="15" t="n">
        <v>0.3666666666666667</v>
      </c>
      <c r="AC35" t="n">
        <v>7</v>
      </c>
      <c r="AD35" t="inlineStr">
        <is>
          <t>CENTRO|OP-000034|20260827|P-400</t>
        </is>
      </c>
      <c r="AE35" t="n">
        <v>1</v>
      </c>
    </row>
    <row r="36">
      <c r="A36" t="n">
        <v>35</v>
      </c>
      <c r="B36" t="inlineStr">
        <is>
          <t>OP-000035</t>
        </is>
      </c>
      <c r="C36" s="12" t="n">
        <v>46028</v>
      </c>
      <c r="D36" s="13" t="n">
        <v>0.7881944444444444</v>
      </c>
      <c r="E36" t="inlineStr">
        <is>
          <t>C-0001</t>
        </is>
      </c>
      <c r="F36" t="inlineStr">
        <is>
          <t>Cliente 1</t>
        </is>
      </c>
      <c r="G36" t="inlineStr">
        <is>
          <t>P-500</t>
        </is>
      </c>
      <c r="H36" t="inlineStr">
        <is>
          <t>Dock</t>
        </is>
      </c>
      <c r="I36" t="inlineStr">
        <is>
          <t>Tecnologia</t>
        </is>
      </c>
      <c r="J36" t="inlineStr">
        <is>
          <t>Sur</t>
        </is>
      </c>
      <c r="K36" t="inlineStr">
        <is>
          <t>SUC-04</t>
        </is>
      </c>
      <c r="L36" t="inlineStr">
        <is>
          <t>Distribuidor</t>
        </is>
      </c>
      <c r="M36" t="inlineStr">
        <is>
          <t>En revision</t>
        </is>
      </c>
      <c r="N36" t="inlineStr">
        <is>
          <t>Baja</t>
        </is>
      </c>
      <c r="O36" t="n">
        <v>12</v>
      </c>
      <c r="P36" s="14" t="n">
        <v>5295</v>
      </c>
      <c r="Q36" s="15" t="n">
        <v>0.15</v>
      </c>
      <c r="R36" s="14" t="n">
        <v>3071.1</v>
      </c>
      <c r="S36" s="12" t="n">
        <v>46040</v>
      </c>
      <c r="T36" s="12" t="n">
        <v>46036</v>
      </c>
      <c r="U36" t="inlineStr">
        <is>
          <t>Resp 12</t>
        </is>
      </c>
      <c r="V36" t="inlineStr">
        <is>
          <t>archivo_06.csv</t>
        </is>
      </c>
      <c r="W36" s="14" t="n">
        <v>63540</v>
      </c>
      <c r="X36" s="14" t="n">
        <v>9531</v>
      </c>
      <c r="Y36" s="14" t="n">
        <v>54009</v>
      </c>
      <c r="Z36" s="14" t="n">
        <v>36853.2</v>
      </c>
      <c r="AA36" s="14" t="n">
        <v>17155.8</v>
      </c>
      <c r="AB36" s="15" t="n">
        <v>0.3176470588235294</v>
      </c>
      <c r="AC36" t="n">
        <v>8</v>
      </c>
      <c r="AD36" t="inlineStr">
        <is>
          <t>SUR|OP-000035|20260106|P-500</t>
        </is>
      </c>
      <c r="AE36" t="n">
        <v>1</v>
      </c>
    </row>
    <row r="37">
      <c r="A37" t="n">
        <v>36</v>
      </c>
      <c r="B37" t="inlineStr">
        <is>
          <t>OP-000036</t>
        </is>
      </c>
      <c r="C37" s="12" t="n">
        <v>46035</v>
      </c>
      <c r="D37" s="13" t="n">
        <v>0.2916666666666667</v>
      </c>
      <c r="E37" t="inlineStr">
        <is>
          <t>C-0002</t>
        </is>
      </c>
      <c r="F37" t="inlineStr">
        <is>
          <t>Cliente 2</t>
        </is>
      </c>
      <c r="G37" t="inlineStr">
        <is>
          <t>P-100</t>
        </is>
      </c>
      <c r="H37" t="inlineStr">
        <is>
          <t>Monitor 24</t>
        </is>
      </c>
      <c r="I37" t="inlineStr">
        <is>
          <t>Tecnologia</t>
        </is>
      </c>
      <c r="J37" t="inlineStr">
        <is>
          <t>Pacifico</t>
        </is>
      </c>
      <c r="K37" t="inlineStr">
        <is>
          <t>SUC-05</t>
        </is>
      </c>
      <c r="L37" t="inlineStr">
        <is>
          <t>Digital</t>
        </is>
      </c>
      <c r="M37" t="inlineStr">
        <is>
          <t>Aprobado</t>
        </is>
      </c>
      <c r="N37" t="inlineStr">
        <is>
          <t>Critica</t>
        </is>
      </c>
      <c r="O37" t="n">
        <v>15</v>
      </c>
      <c r="P37" s="14" t="n">
        <v>5432</v>
      </c>
      <c r="Q37" s="15" t="n">
        <v>0</v>
      </c>
      <c r="R37" s="14" t="n">
        <v>3204.88</v>
      </c>
      <c r="S37" s="12" t="n">
        <v>46048</v>
      </c>
      <c r="T37" s="12" t="n">
        <v>46044</v>
      </c>
      <c r="U37" t="inlineStr">
        <is>
          <t>Resp 1</t>
        </is>
      </c>
      <c r="V37" t="inlineStr">
        <is>
          <t>archivo_01.csv</t>
        </is>
      </c>
      <c r="W37" s="14" t="n">
        <v>81480</v>
      </c>
      <c r="X37" s="14" t="n">
        <v>0</v>
      </c>
      <c r="Y37" s="14" t="n">
        <v>81480</v>
      </c>
      <c r="Z37" s="14" t="n">
        <v>48073.2</v>
      </c>
      <c r="AA37" s="14" t="n">
        <v>33406.8</v>
      </c>
      <c r="AB37" s="15" t="n">
        <v>0.4099999999999999</v>
      </c>
      <c r="AC37" t="n">
        <v>9</v>
      </c>
      <c r="AD37" t="inlineStr">
        <is>
          <t>PACIFICO|OP-000036|20260113|P-100</t>
        </is>
      </c>
      <c r="AE37" t="n">
        <v>1</v>
      </c>
    </row>
    <row r="38">
      <c r="A38" t="n">
        <v>37</v>
      </c>
      <c r="B38" t="inlineStr">
        <is>
          <t>OP-000037</t>
        </is>
      </c>
      <c r="C38" s="12" t="n">
        <v>46042</v>
      </c>
      <c r="D38" s="13" t="n">
        <v>0.3368055555555556</v>
      </c>
      <c r="E38" t="inlineStr">
        <is>
          <t>C-0003</t>
        </is>
      </c>
      <c r="F38" t="inlineStr">
        <is>
          <t>Cliente 3</t>
        </is>
      </c>
      <c r="G38" t="inlineStr">
        <is>
          <t>P-200</t>
        </is>
      </c>
      <c r="H38" t="inlineStr">
        <is>
          <t>Teclado</t>
        </is>
      </c>
      <c r="I38" t="inlineStr">
        <is>
          <t>Tecnologia</t>
        </is>
      </c>
      <c r="J38" t="inlineStr">
        <is>
          <t>Norte</t>
        </is>
      </c>
      <c r="K38" t="inlineStr">
        <is>
          <t>SUC-06</t>
        </is>
      </c>
      <c r="L38" t="inlineStr">
        <is>
          <t>Tienda</t>
        </is>
      </c>
      <c r="M38" t="inlineStr">
        <is>
          <t xml:space="preserve">Aprobado </t>
        </is>
      </c>
      <c r="N38" t="inlineStr">
        <is>
          <t>Alta</t>
        </is>
      </c>
      <c r="O38" t="n">
        <v>18</v>
      </c>
      <c r="P38" s="14" t="n">
        <v>5569</v>
      </c>
      <c r="Q38" s="15" t="n">
        <v>0.05</v>
      </c>
      <c r="R38" s="14" t="n">
        <v>3341.4</v>
      </c>
      <c r="S38" s="12" t="n">
        <v>46056</v>
      </c>
      <c r="T38" s="12" t="n">
        <v>46052</v>
      </c>
      <c r="U38" t="inlineStr">
        <is>
          <t>Resp 2</t>
        </is>
      </c>
      <c r="V38" t="inlineStr">
        <is>
          <t>archivo_02.csv</t>
        </is>
      </c>
      <c r="W38" s="14" t="n">
        <v>100242</v>
      </c>
      <c r="X38" s="14" t="n">
        <v>5012.1</v>
      </c>
      <c r="Y38" s="14" t="n">
        <v>95229.89999999999</v>
      </c>
      <c r="Z38" s="14" t="n">
        <v>60145.2</v>
      </c>
      <c r="AA38" s="14" t="n">
        <v>35084.69999999999</v>
      </c>
      <c r="AB38" s="15" t="n">
        <v>0.3684210526315789</v>
      </c>
      <c r="AC38" t="n">
        <v>10</v>
      </c>
      <c r="AD38" t="inlineStr">
        <is>
          <t>NORTE|OP-000037|20260120|P-200</t>
        </is>
      </c>
      <c r="AE38" t="n">
        <v>1</v>
      </c>
    </row>
    <row r="39">
      <c r="A39" t="n">
        <v>38</v>
      </c>
      <c r="B39" t="inlineStr">
        <is>
          <t>OP-000038</t>
        </is>
      </c>
      <c r="C39" s="12" t="n">
        <v>46049</v>
      </c>
      <c r="D39" s="13" t="n">
        <v>0.3819444444444444</v>
      </c>
      <c r="E39" t="inlineStr">
        <is>
          <t>C-0004</t>
        </is>
      </c>
      <c r="F39" t="inlineStr">
        <is>
          <t>Cliente 4</t>
        </is>
      </c>
      <c r="G39" t="inlineStr">
        <is>
          <t>P-300</t>
        </is>
      </c>
      <c r="H39" t="inlineStr">
        <is>
          <t>Mouse</t>
        </is>
      </c>
      <c r="I39" t="inlineStr">
        <is>
          <t>Tecnologia</t>
        </is>
      </c>
      <c r="J39" t="inlineStr">
        <is>
          <t>Centro</t>
        </is>
      </c>
      <c r="K39" t="inlineStr">
        <is>
          <t>SUC-07</t>
        </is>
      </c>
      <c r="L39" t="inlineStr">
        <is>
          <t>Distribuidor</t>
        </is>
      </c>
      <c r="M39" t="inlineStr">
        <is>
          <t>Cancelado</t>
        </is>
      </c>
      <c r="N39" t="inlineStr">
        <is>
          <t>Media</t>
        </is>
      </c>
      <c r="O39" t="n">
        <v>21</v>
      </c>
      <c r="P39" s="14" t="n">
        <v>5706</v>
      </c>
      <c r="Q39" s="15" t="n">
        <v>0.1</v>
      </c>
      <c r="R39" s="14" t="n">
        <v>3480.66</v>
      </c>
      <c r="S39" s="12" t="n">
        <v>46064</v>
      </c>
      <c r="T39" s="12" t="n">
        <v>46060</v>
      </c>
      <c r="U39" t="inlineStr">
        <is>
          <t>Resp 3</t>
        </is>
      </c>
      <c r="V39" t="inlineStr">
        <is>
          <t>archivo_03.csv</t>
        </is>
      </c>
      <c r="W39" s="14" t="n">
        <v>119826</v>
      </c>
      <c r="X39" s="14" t="n">
        <v>11982.6</v>
      </c>
      <c r="Y39" s="14" t="n">
        <v>107843.4</v>
      </c>
      <c r="Z39" s="14" t="n">
        <v>73093.86</v>
      </c>
      <c r="AA39" s="14" t="n">
        <v>34749.53999999999</v>
      </c>
      <c r="AB39" s="15" t="n">
        <v>0.3222222222222222</v>
      </c>
      <c r="AC39" t="n">
        <v>11</v>
      </c>
      <c r="AD39" t="inlineStr">
        <is>
          <t>CENTRO|OP-000038|20260127|P-300</t>
        </is>
      </c>
      <c r="AE39" t="n">
        <v>1</v>
      </c>
    </row>
    <row r="40">
      <c r="A40" t="n">
        <v>39</v>
      </c>
      <c r="B40" t="inlineStr">
        <is>
          <t>OP-000039</t>
        </is>
      </c>
      <c r="C40" s="12" t="n">
        <v>46056</v>
      </c>
      <c r="D40" s="13" t="n">
        <v>0.4270833333333333</v>
      </c>
      <c r="E40" t="inlineStr">
        <is>
          <t>C-0005</t>
        </is>
      </c>
      <c r="F40" t="inlineStr">
        <is>
          <t>Cliente 5</t>
        </is>
      </c>
      <c r="G40" t="inlineStr">
        <is>
          <t>P-400</t>
        </is>
      </c>
      <c r="H40" t="inlineStr">
        <is>
          <t>Laptop</t>
        </is>
      </c>
      <c r="I40" t="inlineStr">
        <is>
          <t>Tecnologia</t>
        </is>
      </c>
      <c r="J40" t="inlineStr">
        <is>
          <t>Sur</t>
        </is>
      </c>
      <c r="K40" t="inlineStr">
        <is>
          <t>SUC-08</t>
        </is>
      </c>
      <c r="L40" t="inlineStr">
        <is>
          <t>Digital</t>
        </is>
      </c>
      <c r="M40" t="inlineStr">
        <is>
          <t>En revision</t>
        </is>
      </c>
      <c r="N40" t="inlineStr">
        <is>
          <t>Baja</t>
        </is>
      </c>
      <c r="O40" t="n">
        <v>24</v>
      </c>
      <c r="P40" s="14" t="n">
        <v>5843</v>
      </c>
      <c r="Q40" s="15" t="n">
        <v>0.15</v>
      </c>
      <c r="R40" s="14" t="n">
        <v>3622.66</v>
      </c>
      <c r="S40" s="12" t="n">
        <v>46072</v>
      </c>
      <c r="T40" s="12" t="n">
        <v>46068</v>
      </c>
      <c r="U40" t="inlineStr">
        <is>
          <t>Resp 4</t>
        </is>
      </c>
      <c r="V40" t="inlineStr">
        <is>
          <t>archivo_04.csv</t>
        </is>
      </c>
      <c r="W40" s="14" t="n">
        <v>140232</v>
      </c>
      <c r="X40" s="14" t="n">
        <v>21034.8</v>
      </c>
      <c r="Y40" s="14" t="n">
        <v>119197.2</v>
      </c>
      <c r="Z40" s="14" t="n">
        <v>86943.84</v>
      </c>
      <c r="AA40" s="14" t="n">
        <v>32253.36</v>
      </c>
      <c r="AB40" s="15" t="n">
        <v>0.2705882352941177</v>
      </c>
      <c r="AC40" t="n">
        <v>12</v>
      </c>
      <c r="AD40" t="inlineStr">
        <is>
          <t>SUR|OP-000039|20260203|P-400</t>
        </is>
      </c>
      <c r="AE40" t="n">
        <v>1</v>
      </c>
    </row>
    <row r="41">
      <c r="A41" t="n">
        <v>40</v>
      </c>
      <c r="B41" t="inlineStr">
        <is>
          <t>OP-000040</t>
        </is>
      </c>
      <c r="C41" s="12" t="n">
        <v>46063</v>
      </c>
      <c r="D41" s="13" t="n">
        <v>0.4722222222222222</v>
      </c>
      <c r="E41" t="inlineStr">
        <is>
          <t>C-0006</t>
        </is>
      </c>
      <c r="F41" t="inlineStr">
        <is>
          <t>Cliente 6</t>
        </is>
      </c>
      <c r="G41" t="inlineStr">
        <is>
          <t>P-500</t>
        </is>
      </c>
      <c r="H41" t="inlineStr">
        <is>
          <t>Dock</t>
        </is>
      </c>
      <c r="I41" t="inlineStr">
        <is>
          <t>Tecnologia</t>
        </is>
      </c>
      <c r="J41" t="inlineStr">
        <is>
          <t>Pacifico</t>
        </is>
      </c>
      <c r="K41" t="inlineStr">
        <is>
          <t>SUC-01</t>
        </is>
      </c>
      <c r="L41" t="inlineStr">
        <is>
          <t>Tienda</t>
        </is>
      </c>
      <c r="M41" t="inlineStr">
        <is>
          <t>Aprobado</t>
        </is>
      </c>
      <c r="N41" t="inlineStr">
        <is>
          <t>Critica</t>
        </is>
      </c>
      <c r="O41" t="n">
        <v>27</v>
      </c>
      <c r="P41" s="14" t="n">
        <v>5980</v>
      </c>
      <c r="Q41" s="15" t="n">
        <v>0</v>
      </c>
      <c r="R41" s="14" t="n">
        <v>3289</v>
      </c>
      <c r="S41" s="12" t="n">
        <v>46070</v>
      </c>
      <c r="T41" s="12" t="n">
        <v>46076</v>
      </c>
      <c r="U41" t="inlineStr">
        <is>
          <t>Resp 5</t>
        </is>
      </c>
      <c r="V41" t="inlineStr">
        <is>
          <t>archivo_05.csv</t>
        </is>
      </c>
      <c r="W41" s="14" t="n">
        <v>161460</v>
      </c>
      <c r="X41" s="14" t="n">
        <v>0</v>
      </c>
      <c r="Y41" s="14" t="n">
        <v>161460</v>
      </c>
      <c r="Z41" s="14" t="n">
        <v>88803</v>
      </c>
      <c r="AA41" s="14" t="n">
        <v>72657</v>
      </c>
      <c r="AB41" s="15" t="n">
        <v>0.45</v>
      </c>
      <c r="AC41" t="n">
        <v>13</v>
      </c>
      <c r="AD41" t="inlineStr">
        <is>
          <t>PACIFICO|OP-000040|20260210|P-500</t>
        </is>
      </c>
      <c r="AE41" t="n">
        <v>1</v>
      </c>
    </row>
    <row r="42">
      <c r="A42" t="n">
        <v>41</v>
      </c>
      <c r="B42" t="inlineStr">
        <is>
          <t>OP-000041</t>
        </is>
      </c>
      <c r="C42" s="12" t="n">
        <v>46070</v>
      </c>
      <c r="D42" s="13" t="n">
        <v>0.5173611111111112</v>
      </c>
      <c r="E42" t="inlineStr">
        <is>
          <t>C-0007</t>
        </is>
      </c>
      <c r="F42" t="inlineStr">
        <is>
          <t>Cliente 7</t>
        </is>
      </c>
      <c r="G42" t="inlineStr">
        <is>
          <t>P-100</t>
        </is>
      </c>
      <c r="H42" t="inlineStr">
        <is>
          <t>Monitor 24</t>
        </is>
      </c>
      <c r="I42" t="inlineStr">
        <is>
          <t>Tecnologia</t>
        </is>
      </c>
      <c r="J42" t="inlineStr">
        <is>
          <t>Norte</t>
        </is>
      </c>
      <c r="K42" t="inlineStr">
        <is>
          <t>SUC-02</t>
        </is>
      </c>
      <c r="L42" t="inlineStr">
        <is>
          <t>Distribuidor</t>
        </is>
      </c>
      <c r="M42" t="inlineStr">
        <is>
          <t>Pendiente</t>
        </is>
      </c>
      <c r="N42" t="inlineStr">
        <is>
          <t>Alta</t>
        </is>
      </c>
      <c r="O42" t="n">
        <v>-5</v>
      </c>
      <c r="P42" s="14" t="n">
        <v>6117</v>
      </c>
      <c r="Q42" s="15" t="n">
        <v>0.05</v>
      </c>
      <c r="R42" s="14" t="n">
        <v>3425.52</v>
      </c>
      <c r="S42" s="12" t="n">
        <v>46078</v>
      </c>
      <c r="T42" s="12" t="n">
        <v>46084</v>
      </c>
      <c r="U42" t="inlineStr">
        <is>
          <t>Resp 6</t>
        </is>
      </c>
      <c r="V42" t="inlineStr">
        <is>
          <t>archivo_06.csv</t>
        </is>
      </c>
      <c r="W42" s="14" t="n">
        <v>-30585</v>
      </c>
      <c r="X42" s="14" t="n">
        <v>-1529.25</v>
      </c>
      <c r="Y42" s="14" t="n">
        <v>-29055.75</v>
      </c>
      <c r="Z42" s="14" t="n">
        <v>-17127.6</v>
      </c>
      <c r="AA42" s="14" t="n">
        <v>-11928.15</v>
      </c>
      <c r="AB42" s="15" t="n">
        <v>0.4105263157894737</v>
      </c>
      <c r="AC42" t="n">
        <v>14</v>
      </c>
      <c r="AD42" t="inlineStr">
        <is>
          <t>NORTE|OP-000041|20260217|P-100</t>
        </is>
      </c>
      <c r="AE42" t="n">
        <v>1</v>
      </c>
    </row>
    <row r="43">
      <c r="A43" t="n">
        <v>42</v>
      </c>
      <c r="B43" t="inlineStr">
        <is>
          <t>OP-000042</t>
        </is>
      </c>
      <c r="C43" s="12" t="n">
        <v>46077</v>
      </c>
      <c r="D43" s="13" t="n">
        <v>0.5625</v>
      </c>
      <c r="E43" t="inlineStr">
        <is>
          <t>C-0008</t>
        </is>
      </c>
      <c r="F43" t="inlineStr">
        <is>
          <t>Cliente 8</t>
        </is>
      </c>
      <c r="G43" t="inlineStr">
        <is>
          <t>P-200</t>
        </is>
      </c>
      <c r="H43" t="inlineStr">
        <is>
          <t>Teclado</t>
        </is>
      </c>
      <c r="I43" t="inlineStr">
        <is>
          <t>Tecnologia</t>
        </is>
      </c>
      <c r="J43" t="inlineStr">
        <is>
          <t>Centro</t>
        </is>
      </c>
      <c r="K43" t="inlineStr">
        <is>
          <t>SUC-03</t>
        </is>
      </c>
      <c r="L43" t="inlineStr">
        <is>
          <t>Digital</t>
        </is>
      </c>
      <c r="M43" t="inlineStr">
        <is>
          <t>Cancelado</t>
        </is>
      </c>
      <c r="N43" t="inlineStr">
        <is>
          <t>Media</t>
        </is>
      </c>
      <c r="O43" t="n">
        <v>33</v>
      </c>
      <c r="P43" s="14" t="n">
        <v>6254</v>
      </c>
      <c r="Q43" s="15" t="n">
        <v>0.1</v>
      </c>
      <c r="R43" s="14" t="n">
        <v>3564.78</v>
      </c>
      <c r="S43" s="12" t="n">
        <v>46086</v>
      </c>
      <c r="T43" s="12" t="n">
        <v>46092</v>
      </c>
      <c r="U43" t="inlineStr">
        <is>
          <t>Resp 7</t>
        </is>
      </c>
      <c r="V43" t="inlineStr">
        <is>
          <t>archivo_01.csv</t>
        </is>
      </c>
      <c r="W43" s="14" t="n">
        <v>206382</v>
      </c>
      <c r="X43" s="14" t="n">
        <v>20638.2</v>
      </c>
      <c r="Y43" s="14" t="n">
        <v>185743.8</v>
      </c>
      <c r="Z43" s="14" t="n">
        <v>117637.74</v>
      </c>
      <c r="AA43" s="14" t="n">
        <v>68106.05999999998</v>
      </c>
      <c r="AB43" s="15" t="n">
        <v>0.3666666666666666</v>
      </c>
      <c r="AC43" t="n">
        <v>15</v>
      </c>
      <c r="AD43" t="inlineStr">
        <is>
          <t>CENTRO|OP-000042|20260224|P-200</t>
        </is>
      </c>
      <c r="AE43" t="n">
        <v>1</v>
      </c>
    </row>
    <row r="44">
      <c r="A44" t="n">
        <v>43</v>
      </c>
      <c r="B44" t="inlineStr">
        <is>
          <t>OP-000043</t>
        </is>
      </c>
      <c r="C44" s="12" t="n">
        <v>46084</v>
      </c>
      <c r="D44" s="13" t="n">
        <v>0.6076388888888888</v>
      </c>
      <c r="E44" t="inlineStr">
        <is>
          <t>C-0009</t>
        </is>
      </c>
      <c r="F44" t="inlineStr">
        <is>
          <t>Cliente 9</t>
        </is>
      </c>
      <c r="G44" t="inlineStr">
        <is>
          <t>P-300</t>
        </is>
      </c>
      <c r="H44" t="inlineStr">
        <is>
          <t>Mouse</t>
        </is>
      </c>
      <c r="I44" t="inlineStr">
        <is>
          <t>Tecnologia</t>
        </is>
      </c>
      <c r="J44" t="inlineStr">
        <is>
          <t>Sur</t>
        </is>
      </c>
      <c r="K44" t="inlineStr">
        <is>
          <t>SUC-04</t>
        </is>
      </c>
      <c r="L44" t="inlineStr">
        <is>
          <t>Tienda</t>
        </is>
      </c>
      <c r="M44" t="inlineStr">
        <is>
          <t>En revision</t>
        </is>
      </c>
      <c r="N44" t="inlineStr">
        <is>
          <t>Baja</t>
        </is>
      </c>
      <c r="O44" t="n">
        <v>36</v>
      </c>
      <c r="P44" s="14" t="n">
        <v>6391</v>
      </c>
      <c r="Q44" s="15" t="n">
        <v>0.15</v>
      </c>
      <c r="R44" s="14" t="n">
        <v>3706.78</v>
      </c>
      <c r="S44" s="12" t="n">
        <v>46094</v>
      </c>
      <c r="T44" s="12" t="n">
        <v>46100</v>
      </c>
      <c r="U44" t="inlineStr">
        <is>
          <t>Resp 8</t>
        </is>
      </c>
      <c r="V44" t="inlineStr">
        <is>
          <t>archivo_02.csv</t>
        </is>
      </c>
      <c r="W44" s="14" t="n">
        <v>230076</v>
      </c>
      <c r="X44" s="14" t="n">
        <v>34511.4</v>
      </c>
      <c r="Y44" s="14" t="n">
        <v>195564.6</v>
      </c>
      <c r="Z44" s="14" t="n">
        <v>133444.08</v>
      </c>
      <c r="AA44" s="14" t="n">
        <v>62120.51999999999</v>
      </c>
      <c r="AB44" s="15" t="n">
        <v>0.3176470588235293</v>
      </c>
      <c r="AC44" t="n">
        <v>16</v>
      </c>
      <c r="AD44" t="inlineStr">
        <is>
          <t>SUR|OP-000043|20260303|P-300</t>
        </is>
      </c>
      <c r="AE44" t="n">
        <v>1</v>
      </c>
    </row>
    <row r="45">
      <c r="A45" t="n">
        <v>44</v>
      </c>
      <c r="B45" t="inlineStr">
        <is>
          <t>OP-000044</t>
        </is>
      </c>
      <c r="C45" s="12" t="n">
        <v>46091</v>
      </c>
      <c r="D45" s="13" t="n">
        <v>0.6527777777777778</v>
      </c>
      <c r="E45" t="inlineStr">
        <is>
          <t>C-0010</t>
        </is>
      </c>
      <c r="F45" t="inlineStr">
        <is>
          <t>Cliente 10</t>
        </is>
      </c>
      <c r="G45" t="inlineStr">
        <is>
          <t>P-400</t>
        </is>
      </c>
      <c r="H45" t="inlineStr">
        <is>
          <t>Laptop</t>
        </is>
      </c>
      <c r="I45" t="inlineStr">
        <is>
          <t>Tecnologia</t>
        </is>
      </c>
      <c r="J45" t="inlineStr">
        <is>
          <t>Pacifico</t>
        </is>
      </c>
      <c r="K45" t="inlineStr">
        <is>
          <t>SUC-05</t>
        </is>
      </c>
      <c r="L45" t="inlineStr">
        <is>
          <t>Distribuidor</t>
        </is>
      </c>
      <c r="M45" t="inlineStr">
        <is>
          <t>Aprobado</t>
        </is>
      </c>
      <c r="N45" t="inlineStr">
        <is>
          <t>Critica</t>
        </is>
      </c>
      <c r="O45" t="n">
        <v>39</v>
      </c>
      <c r="P45" s="14" t="n">
        <v>6528</v>
      </c>
      <c r="Q45" s="15" t="n">
        <v>0</v>
      </c>
      <c r="R45" s="14" t="n">
        <v>3851.52</v>
      </c>
      <c r="S45" s="12" t="n">
        <v>46102</v>
      </c>
      <c r="T45" s="12" t="n">
        <v>46108</v>
      </c>
      <c r="U45" t="inlineStr">
        <is>
          <t>Resp 9</t>
        </is>
      </c>
      <c r="V45" t="inlineStr">
        <is>
          <t>archivo_03.csv</t>
        </is>
      </c>
      <c r="W45" s="14" t="n">
        <v>254592</v>
      </c>
      <c r="X45" s="14" t="n">
        <v>0</v>
      </c>
      <c r="Y45" s="14" t="n">
        <v>254592</v>
      </c>
      <c r="Z45" s="14" t="n">
        <v>150209.28</v>
      </c>
      <c r="AA45" s="14" t="n">
        <v>104382.72</v>
      </c>
      <c r="AB45" s="15" t="n">
        <v>0.41</v>
      </c>
      <c r="AC45" t="n">
        <v>17</v>
      </c>
      <c r="AD45" t="inlineStr">
        <is>
          <t>PACIFICO|OP-000044|20260310|P-400</t>
        </is>
      </c>
      <c r="AE45" t="n">
        <v>1</v>
      </c>
    </row>
    <row r="46">
      <c r="A46" t="n">
        <v>45</v>
      </c>
      <c r="B46" t="inlineStr">
        <is>
          <t>OP-000045</t>
        </is>
      </c>
      <c r="C46" s="12" t="n">
        <v>46098</v>
      </c>
      <c r="D46" s="13" t="n">
        <v>0.6979166666666666</v>
      </c>
      <c r="E46" t="inlineStr">
        <is>
          <t>C-0011</t>
        </is>
      </c>
      <c r="F46" t="inlineStr">
        <is>
          <t>Cliente 11</t>
        </is>
      </c>
      <c r="G46" t="inlineStr">
        <is>
          <t>P-500</t>
        </is>
      </c>
      <c r="H46" t="inlineStr">
        <is>
          <t>Dock</t>
        </is>
      </c>
      <c r="I46" t="inlineStr">
        <is>
          <t>Tecnologia</t>
        </is>
      </c>
      <c r="J46" t="inlineStr">
        <is>
          <t>Norte</t>
        </is>
      </c>
      <c r="K46" t="inlineStr">
        <is>
          <t>SUC-06</t>
        </is>
      </c>
      <c r="L46" t="inlineStr">
        <is>
          <t>Digital</t>
        </is>
      </c>
      <c r="M46" t="inlineStr">
        <is>
          <t>Pendiente</t>
        </is>
      </c>
      <c r="N46" t="inlineStr">
        <is>
          <t>Alta</t>
        </is>
      </c>
      <c r="O46" t="n">
        <v>42</v>
      </c>
      <c r="P46" s="14" t="n">
        <v>6665</v>
      </c>
      <c r="Q46" s="15" t="n">
        <v>0.05</v>
      </c>
      <c r="R46" s="14" t="n">
        <v>3999</v>
      </c>
      <c r="S46" s="12" t="n">
        <v>46110</v>
      </c>
      <c r="T46" s="12" t="n">
        <v>46101</v>
      </c>
      <c r="U46" t="inlineStr">
        <is>
          <t>Resp 10</t>
        </is>
      </c>
      <c r="V46" t="inlineStr">
        <is>
          <t>archivo_04.csv</t>
        </is>
      </c>
      <c r="W46" s="14" t="n">
        <v>279930</v>
      </c>
      <c r="X46" s="14" t="n">
        <v>13996.5</v>
      </c>
      <c r="Y46" s="14" t="n">
        <v>265933.5</v>
      </c>
      <c r="Z46" s="14" t="n">
        <v>167958</v>
      </c>
      <c r="AA46" s="14" t="n">
        <v>97975.5</v>
      </c>
      <c r="AB46" s="15" t="n">
        <v>0.3684210526315789</v>
      </c>
      <c r="AC46" t="n">
        <v>3</v>
      </c>
      <c r="AD46" t="inlineStr">
        <is>
          <t>NORTE|OP-000045|20260317|P-500</t>
        </is>
      </c>
      <c r="AE46" t="n">
        <v>1</v>
      </c>
    </row>
    <row r="47">
      <c r="A47" t="n">
        <v>46</v>
      </c>
      <c r="B47" t="inlineStr">
        <is>
          <t>OP-000046</t>
        </is>
      </c>
      <c r="C47" s="12" t="n">
        <v>46105</v>
      </c>
      <c r="D47" s="13" t="n">
        <v>0.7430555555555556</v>
      </c>
      <c r="E47" t="inlineStr">
        <is>
          <t>C-0012</t>
        </is>
      </c>
      <c r="F47" t="inlineStr">
        <is>
          <t>Cliente 12</t>
        </is>
      </c>
      <c r="G47" t="inlineStr">
        <is>
          <t>P-100</t>
        </is>
      </c>
      <c r="H47" t="inlineStr">
        <is>
          <t>Monitor 24</t>
        </is>
      </c>
      <c r="I47" t="inlineStr">
        <is>
          <t>Tecnologia</t>
        </is>
      </c>
      <c r="J47" t="inlineStr">
        <is>
          <t>Centro</t>
        </is>
      </c>
      <c r="K47" t="inlineStr">
        <is>
          <t>SUC-07</t>
        </is>
      </c>
      <c r="L47" t="inlineStr">
        <is>
          <t>Tienda</t>
        </is>
      </c>
      <c r="M47" t="inlineStr">
        <is>
          <t>Cancelado</t>
        </is>
      </c>
      <c r="N47" t="inlineStr">
        <is>
          <t>Media</t>
        </is>
      </c>
      <c r="O47" t="n">
        <v>45</v>
      </c>
      <c r="P47" s="14" t="n">
        <v>6802</v>
      </c>
      <c r="Q47" s="15" t="n">
        <v>0.1</v>
      </c>
      <c r="R47" s="14" t="n">
        <v>4149.22</v>
      </c>
      <c r="S47" s="12" t="n">
        <v>46118</v>
      </c>
      <c r="T47" s="12" t="n">
        <v>46109</v>
      </c>
      <c r="U47" t="inlineStr">
        <is>
          <t>Resp 11</t>
        </is>
      </c>
      <c r="V47" t="inlineStr">
        <is>
          <t>archivo_05.csv</t>
        </is>
      </c>
      <c r="W47" s="14" t="n">
        <v>306090</v>
      </c>
      <c r="X47" s="14" t="n">
        <v>30609</v>
      </c>
      <c r="Y47" s="14" t="n">
        <v>275481</v>
      </c>
      <c r="Z47" s="14" t="n">
        <v>186714.9</v>
      </c>
      <c r="AA47" s="14" t="n">
        <v>88766.09999999998</v>
      </c>
      <c r="AB47" s="15" t="n">
        <v>0.3222222222222221</v>
      </c>
      <c r="AC47" t="n">
        <v>4</v>
      </c>
      <c r="AD47" t="inlineStr">
        <is>
          <t>CENTRO|OP-000046|20260324|P-100</t>
        </is>
      </c>
      <c r="AE47" t="n">
        <v>1</v>
      </c>
    </row>
    <row r="48">
      <c r="A48" t="n">
        <v>47</v>
      </c>
      <c r="B48" t="inlineStr">
        <is>
          <t>OP-000047</t>
        </is>
      </c>
      <c r="C48" s="12" t="n">
        <v>46112</v>
      </c>
      <c r="D48" s="13" t="n">
        <v>0.7881944444444444</v>
      </c>
      <c r="E48" t="inlineStr">
        <is>
          <t>C-0013</t>
        </is>
      </c>
      <c r="F48" t="inlineStr">
        <is>
          <t>Cliente 13</t>
        </is>
      </c>
      <c r="G48" t="inlineStr">
        <is>
          <t>P-200</t>
        </is>
      </c>
      <c r="H48" t="inlineStr">
        <is>
          <t>Teclado</t>
        </is>
      </c>
      <c r="I48" t="inlineStr">
        <is>
          <t>Tecnologia</t>
        </is>
      </c>
      <c r="J48" t="inlineStr">
        <is>
          <t>Sur</t>
        </is>
      </c>
      <c r="K48" t="inlineStr">
        <is>
          <t>SUC-08</t>
        </is>
      </c>
      <c r="L48" t="inlineStr">
        <is>
          <t>Distribuidor</t>
        </is>
      </c>
      <c r="M48" t="inlineStr">
        <is>
          <t>En revision</t>
        </is>
      </c>
      <c r="N48" t="inlineStr">
        <is>
          <t>Baja</t>
        </is>
      </c>
      <c r="O48" t="n">
        <v>1</v>
      </c>
      <c r="P48" s="14" t="n">
        <v>6939</v>
      </c>
      <c r="Q48" s="15" t="n">
        <v>0.15</v>
      </c>
      <c r="R48" s="14" t="n">
        <v>4302.18</v>
      </c>
      <c r="S48" s="12" t="n">
        <v>46126</v>
      </c>
      <c r="T48" s="12" t="n">
        <v>46117</v>
      </c>
      <c r="U48" t="inlineStr">
        <is>
          <t>Resp 12</t>
        </is>
      </c>
      <c r="V48" t="inlineStr">
        <is>
          <t>archivo_06.csv</t>
        </is>
      </c>
      <c r="W48" s="14" t="n">
        <v>6939</v>
      </c>
      <c r="X48" s="14" t="n">
        <v>1040.85</v>
      </c>
      <c r="Y48" s="14" t="n">
        <v>5898.15</v>
      </c>
      <c r="Z48" s="14" t="n">
        <v>4302.18</v>
      </c>
      <c r="AA48" s="14" t="n">
        <v>1595.969999999999</v>
      </c>
      <c r="AB48" s="15" t="n">
        <v>0.2705882352941176</v>
      </c>
      <c r="AC48" t="n">
        <v>5</v>
      </c>
      <c r="AD48" t="inlineStr">
        <is>
          <t>SUR|OP-000047|20260331|P-200</t>
        </is>
      </c>
      <c r="AE48" t="n">
        <v>1</v>
      </c>
    </row>
    <row r="49">
      <c r="A49" t="n">
        <v>48</v>
      </c>
      <c r="B49" t="inlineStr">
        <is>
          <t>OP-000048</t>
        </is>
      </c>
      <c r="C49" s="12" t="n">
        <v>46119</v>
      </c>
      <c r="D49" s="13" t="n">
        <v>0.2916666666666667</v>
      </c>
      <c r="E49" t="inlineStr">
        <is>
          <t>C-0014</t>
        </is>
      </c>
      <c r="F49" t="inlineStr">
        <is>
          <t>Cliente 14</t>
        </is>
      </c>
      <c r="G49" t="inlineStr">
        <is>
          <t>P-300</t>
        </is>
      </c>
      <c r="H49" t="inlineStr">
        <is>
          <t>Mouse</t>
        </is>
      </c>
      <c r="I49" t="inlineStr">
        <is>
          <t>Tecnologia</t>
        </is>
      </c>
      <c r="J49" t="inlineStr">
        <is>
          <t>Pacifico</t>
        </is>
      </c>
      <c r="K49" t="inlineStr">
        <is>
          <t>SUC-01</t>
        </is>
      </c>
      <c r="L49" t="inlineStr">
        <is>
          <t>Digital</t>
        </is>
      </c>
      <c r="M49" t="inlineStr">
        <is>
          <t>Aprobado</t>
        </is>
      </c>
      <c r="N49" t="inlineStr">
        <is>
          <t>Critica</t>
        </is>
      </c>
      <c r="O49" t="n">
        <v>4</v>
      </c>
      <c r="P49" s="14" t="n">
        <v>7076</v>
      </c>
      <c r="Q49" s="15" t="n">
        <v>0</v>
      </c>
      <c r="R49" s="14" t="n">
        <v>3891.8</v>
      </c>
      <c r="S49" s="12" t="n">
        <v>46134</v>
      </c>
      <c r="T49" s="12" t="n">
        <v>46125</v>
      </c>
      <c r="U49" t="inlineStr">
        <is>
          <t>Resp 1</t>
        </is>
      </c>
      <c r="V49" t="inlineStr">
        <is>
          <t>archivo_01.csv</t>
        </is>
      </c>
      <c r="W49" s="14" t="n">
        <v>28304</v>
      </c>
      <c r="X49" s="14" t="n">
        <v>0</v>
      </c>
      <c r="Y49" s="14" t="n">
        <v>28304</v>
      </c>
      <c r="Z49" s="14" t="n">
        <v>15567.2</v>
      </c>
      <c r="AA49" s="14" t="n">
        <v>12736.8</v>
      </c>
      <c r="AB49" s="15" t="n">
        <v>0.45</v>
      </c>
      <c r="AC49" t="n">
        <v>6</v>
      </c>
      <c r="AD49" t="inlineStr">
        <is>
          <t>PACIFICO|OP-000048|20260407|P-300</t>
        </is>
      </c>
      <c r="AE49" t="n">
        <v>1</v>
      </c>
    </row>
    <row r="50">
      <c r="A50" t="n">
        <v>49</v>
      </c>
      <c r="B50" t="inlineStr">
        <is>
          <t>OP-000049</t>
        </is>
      </c>
      <c r="C50" s="12" t="n">
        <v>46126</v>
      </c>
      <c r="D50" s="13" t="n">
        <v>0.3368055555555556</v>
      </c>
      <c r="E50" t="inlineStr">
        <is>
          <t>C-0015</t>
        </is>
      </c>
      <c r="F50" t="inlineStr">
        <is>
          <t>Cliente 15</t>
        </is>
      </c>
      <c r="G50" t="inlineStr">
        <is>
          <t>P-400</t>
        </is>
      </c>
      <c r="H50" t="inlineStr">
        <is>
          <t>Laptop</t>
        </is>
      </c>
      <c r="I50" t="inlineStr">
        <is>
          <t>Tecnologia</t>
        </is>
      </c>
      <c r="J50" t="inlineStr">
        <is>
          <t>Norte</t>
        </is>
      </c>
      <c r="K50" t="inlineStr">
        <is>
          <t>SUC-02</t>
        </is>
      </c>
      <c r="L50" t="inlineStr">
        <is>
          <t>Tienda</t>
        </is>
      </c>
      <c r="M50" t="inlineStr">
        <is>
          <t>Pendiente</t>
        </is>
      </c>
      <c r="N50" t="inlineStr">
        <is>
          <t>Alta</t>
        </is>
      </c>
      <c r="O50" t="n">
        <v>7</v>
      </c>
      <c r="P50" s="14" t="n">
        <v>7213</v>
      </c>
      <c r="Q50" s="15" t="n">
        <v>0.05</v>
      </c>
      <c r="R50" s="14" t="n">
        <v>4039.28</v>
      </c>
      <c r="S50" s="12" t="n">
        <v>46142</v>
      </c>
      <c r="T50" s="12" t="n">
        <v>46133</v>
      </c>
      <c r="U50" t="inlineStr">
        <is>
          <t>Resp 2</t>
        </is>
      </c>
      <c r="V50" t="inlineStr">
        <is>
          <t>archivo_02.csv</t>
        </is>
      </c>
      <c r="W50" s="14" t="n">
        <v>50491</v>
      </c>
      <c r="X50" s="14" t="n">
        <v>2524.55</v>
      </c>
      <c r="Y50" s="14" t="n">
        <v>47966.45</v>
      </c>
      <c r="Z50" s="14" t="n">
        <v>28274.96</v>
      </c>
      <c r="AA50" s="14" t="n">
        <v>19691.48999999999</v>
      </c>
      <c r="AB50" s="15" t="n">
        <v>0.4105263157894736</v>
      </c>
      <c r="AC50" t="n">
        <v>7</v>
      </c>
      <c r="AD50" t="inlineStr">
        <is>
          <t>NORTE|OP-000049|20260414|P-400</t>
        </is>
      </c>
      <c r="AE50" t="n">
        <v>1</v>
      </c>
    </row>
    <row r="51">
      <c r="A51" t="n">
        <v>50</v>
      </c>
      <c r="B51" t="inlineStr">
        <is>
          <t>OP-000050</t>
        </is>
      </c>
      <c r="C51" s="12" t="n">
        <v>46133</v>
      </c>
      <c r="D51" s="13" t="n">
        <v>0.3819444444444444</v>
      </c>
      <c r="E51" t="inlineStr">
        <is>
          <t>C-0016</t>
        </is>
      </c>
      <c r="F51" t="inlineStr">
        <is>
          <t>Cliente 16</t>
        </is>
      </c>
      <c r="G51" t="inlineStr">
        <is>
          <t>P-500</t>
        </is>
      </c>
      <c r="H51" t="inlineStr">
        <is>
          <t>Dock</t>
        </is>
      </c>
      <c r="I51" t="inlineStr">
        <is>
          <t>Tecnologia</t>
        </is>
      </c>
      <c r="J51" t="inlineStr">
        <is>
          <t>Centro</t>
        </is>
      </c>
      <c r="K51" t="inlineStr">
        <is>
          <t>SUC-03</t>
        </is>
      </c>
      <c r="L51" t="inlineStr">
        <is>
          <t>Distribuidor</t>
        </is>
      </c>
      <c r="M51" t="inlineStr">
        <is>
          <t>Cancelado</t>
        </is>
      </c>
      <c r="N51" t="inlineStr">
        <is>
          <t>Media</t>
        </is>
      </c>
      <c r="O51" t="n">
        <v>10</v>
      </c>
      <c r="P51" s="14" t="n">
        <v>7350</v>
      </c>
      <c r="Q51" s="15" t="n">
        <v>0.1</v>
      </c>
      <c r="R51" s="14" t="n">
        <v>4189.5</v>
      </c>
      <c r="S51" s="12" t="n">
        <v>46140</v>
      </c>
      <c r="T51" s="12" t="n">
        <v>46141</v>
      </c>
      <c r="U51" t="inlineStr">
        <is>
          <t>Resp 3</t>
        </is>
      </c>
      <c r="V51" t="inlineStr">
        <is>
          <t>archivo_03.csv</t>
        </is>
      </c>
      <c r="W51" s="14" t="n">
        <v>73500</v>
      </c>
      <c r="X51" s="14" t="n">
        <v>7350</v>
      </c>
      <c r="Y51" s="14" t="n">
        <v>66150</v>
      </c>
      <c r="Z51" s="14" t="n">
        <v>41895</v>
      </c>
      <c r="AA51" s="14" t="n">
        <v>24255</v>
      </c>
      <c r="AB51" s="15" t="n">
        <v>0.3666666666666666</v>
      </c>
      <c r="AC51" t="n">
        <v>8</v>
      </c>
      <c r="AD51" t="inlineStr">
        <is>
          <t>CENTRO|OP-000050|20260421|P-500</t>
        </is>
      </c>
      <c r="AE51" t="n">
        <v>1</v>
      </c>
    </row>
    <row r="52">
      <c r="A52" t="n">
        <v>51</v>
      </c>
      <c r="B52" t="inlineStr">
        <is>
          <t>OP-000051</t>
        </is>
      </c>
      <c r="C52" s="12" t="n">
        <v>46140</v>
      </c>
      <c r="D52" s="13" t="n">
        <v>0.4270833333333333</v>
      </c>
      <c r="E52" t="inlineStr">
        <is>
          <t>C-0017</t>
        </is>
      </c>
      <c r="F52" t="inlineStr">
        <is>
          <t>Cliente 17</t>
        </is>
      </c>
      <c r="G52" t="inlineStr">
        <is>
          <t>P-100</t>
        </is>
      </c>
      <c r="H52" t="inlineStr">
        <is>
          <t>Monitor 24</t>
        </is>
      </c>
      <c r="I52" t="inlineStr">
        <is>
          <t>Tecnologia</t>
        </is>
      </c>
      <c r="J52" t="inlineStr">
        <is>
          <t>Sur</t>
        </is>
      </c>
      <c r="K52" t="inlineStr">
        <is>
          <t>SUC-04</t>
        </is>
      </c>
      <c r="L52" t="inlineStr">
        <is>
          <t>Digital</t>
        </is>
      </c>
      <c r="M52" t="inlineStr">
        <is>
          <t>En revision</t>
        </is>
      </c>
      <c r="N52" t="inlineStr">
        <is>
          <t>Baja</t>
        </is>
      </c>
      <c r="O52" t="n">
        <v>13</v>
      </c>
      <c r="P52" s="14" t="n">
        <v>7487</v>
      </c>
      <c r="Q52" s="15" t="n">
        <v>0.15</v>
      </c>
      <c r="R52" s="14" t="n">
        <v>4342.46</v>
      </c>
      <c r="S52" s="12" t="n">
        <v>46148</v>
      </c>
      <c r="T52" s="12" t="n">
        <v>46149</v>
      </c>
      <c r="U52" t="inlineStr">
        <is>
          <t>Resp 4</t>
        </is>
      </c>
      <c r="V52" t="inlineStr">
        <is>
          <t>archivo_04.csv</t>
        </is>
      </c>
      <c r="W52" s="14" t="n">
        <v>97331</v>
      </c>
      <c r="X52" s="14" t="n">
        <v>14599.65</v>
      </c>
      <c r="Y52" s="14" t="n">
        <v>82731.35000000001</v>
      </c>
      <c r="Z52" s="14" t="n">
        <v>56451.98</v>
      </c>
      <c r="AA52" s="14" t="n">
        <v>26279.37</v>
      </c>
      <c r="AB52" s="15" t="n">
        <v>0.3176470588235294</v>
      </c>
      <c r="AC52" t="n">
        <v>9</v>
      </c>
      <c r="AD52" t="inlineStr">
        <is>
          <t>SUR|OP-000051|20260428|P-100</t>
        </is>
      </c>
      <c r="AE52" t="n">
        <v>1</v>
      </c>
    </row>
    <row r="53">
      <c r="A53" t="n">
        <v>52</v>
      </c>
      <c r="B53" t="inlineStr">
        <is>
          <t>OP-000052</t>
        </is>
      </c>
      <c r="C53" s="12" t="n">
        <v>46147</v>
      </c>
      <c r="D53" s="13" t="n">
        <v>0.4722222222222222</v>
      </c>
      <c r="E53" t="inlineStr">
        <is>
          <t>C-0018</t>
        </is>
      </c>
      <c r="F53" t="inlineStr">
        <is>
          <t>Cliente 18</t>
        </is>
      </c>
      <c r="G53" t="inlineStr">
        <is>
          <t>P-200</t>
        </is>
      </c>
      <c r="H53" t="inlineStr">
        <is>
          <t>Teclado</t>
        </is>
      </c>
      <c r="I53" t="inlineStr">
        <is>
          <t>Tecnologia</t>
        </is>
      </c>
      <c r="J53" t="inlineStr">
        <is>
          <t>Pacifico</t>
        </is>
      </c>
      <c r="K53" t="inlineStr">
        <is>
          <t>SUC-05</t>
        </is>
      </c>
      <c r="L53" t="inlineStr">
        <is>
          <t>Tienda</t>
        </is>
      </c>
      <c r="M53" t="inlineStr">
        <is>
          <t>Aprobado</t>
        </is>
      </c>
      <c r="N53" t="inlineStr">
        <is>
          <t>Critica</t>
        </is>
      </c>
      <c r="O53" t="n">
        <v>16</v>
      </c>
      <c r="P53" s="14" t="n">
        <v>7624</v>
      </c>
      <c r="Q53" s="15" t="n">
        <v>0</v>
      </c>
      <c r="R53" s="14" t="n">
        <v>4498.16</v>
      </c>
      <c r="S53" s="12" t="n">
        <v>46156</v>
      </c>
      <c r="T53" s="12" t="n">
        <v>46157</v>
      </c>
      <c r="U53" t="inlineStr">
        <is>
          <t>Resp 5</t>
        </is>
      </c>
      <c r="V53" t="inlineStr">
        <is>
          <t>archivo_05.csv</t>
        </is>
      </c>
      <c r="W53" s="14" t="n">
        <v>121984</v>
      </c>
      <c r="X53" s="14" t="n">
        <v>0</v>
      </c>
      <c r="Y53" s="14" t="n">
        <v>121984</v>
      </c>
      <c r="Z53" s="14" t="n">
        <v>71970.56</v>
      </c>
      <c r="AA53" s="14" t="n">
        <v>50013.44</v>
      </c>
      <c r="AB53" s="15" t="n">
        <v>0.41</v>
      </c>
      <c r="AC53" t="n">
        <v>10</v>
      </c>
      <c r="AD53" t="inlineStr">
        <is>
          <t>PACIFICO|OP-000052|20260505|P-200</t>
        </is>
      </c>
      <c r="AE53" t="n">
        <v>1</v>
      </c>
    </row>
    <row r="54">
      <c r="A54" t="n">
        <v>53</v>
      </c>
      <c r="B54" t="inlineStr">
        <is>
          <t>OP-000053</t>
        </is>
      </c>
      <c r="C54" s="12" t="n">
        <v>46154</v>
      </c>
      <c r="D54" s="13" t="n">
        <v>0.5173611111111112</v>
      </c>
      <c r="E54" t="inlineStr">
        <is>
          <t>C-0019</t>
        </is>
      </c>
      <c r="F54" t="inlineStr">
        <is>
          <t>Cliente 19</t>
        </is>
      </c>
      <c r="G54" t="inlineStr">
        <is>
          <t>P-300</t>
        </is>
      </c>
      <c r="H54" t="inlineStr">
        <is>
          <t>Mouse</t>
        </is>
      </c>
      <c r="I54" t="inlineStr">
        <is>
          <t>Tecnologia</t>
        </is>
      </c>
      <c r="J54" t="inlineStr">
        <is>
          <t>Norte</t>
        </is>
      </c>
      <c r="K54" t="inlineStr">
        <is>
          <t>SUC-06</t>
        </is>
      </c>
      <c r="L54" t="inlineStr">
        <is>
          <t>Distribuidor</t>
        </is>
      </c>
      <c r="M54" t="inlineStr">
        <is>
          <t>Pendiente</t>
        </is>
      </c>
      <c r="N54" t="inlineStr">
        <is>
          <t>Alta</t>
        </is>
      </c>
      <c r="O54" t="n">
        <v>19</v>
      </c>
      <c r="P54" s="14" t="n">
        <v>7761</v>
      </c>
      <c r="Q54" s="15" t="n">
        <v>0.05</v>
      </c>
      <c r="R54" s="14" t="n">
        <v>4656.6</v>
      </c>
      <c r="S54" s="12" t="n">
        <v>46164</v>
      </c>
      <c r="T54" s="12" t="n">
        <v>46165</v>
      </c>
      <c r="U54" t="inlineStr">
        <is>
          <t>Resp 6</t>
        </is>
      </c>
      <c r="V54" t="inlineStr">
        <is>
          <t>archivo_06.csv</t>
        </is>
      </c>
      <c r="W54" s="14" t="n">
        <v>147459</v>
      </c>
      <c r="X54" s="14" t="n">
        <v>7372.950000000001</v>
      </c>
      <c r="Y54" s="14" t="n">
        <v>140086.05</v>
      </c>
      <c r="Z54" s="14" t="n">
        <v>88475.40000000001</v>
      </c>
      <c r="AA54" s="14" t="n">
        <v>51610.64999999998</v>
      </c>
      <c r="AB54" s="15" t="n">
        <v>0.3684210526315788</v>
      </c>
      <c r="AC54" t="n">
        <v>11</v>
      </c>
      <c r="AD54" t="inlineStr">
        <is>
          <t>NORTE|OP-000053|20260512|P-300</t>
        </is>
      </c>
      <c r="AE54" t="n">
        <v>1</v>
      </c>
    </row>
    <row r="55">
      <c r="A55" t="n">
        <v>54</v>
      </c>
      <c r="B55" t="inlineStr">
        <is>
          <t>OP-000054</t>
        </is>
      </c>
      <c r="C55" s="12" t="n">
        <v>46161</v>
      </c>
      <c r="D55" s="13" t="n">
        <v>0.5625</v>
      </c>
      <c r="E55" t="inlineStr">
        <is>
          <t>C-0020</t>
        </is>
      </c>
      <c r="F55" t="inlineStr">
        <is>
          <t>Cliente 20</t>
        </is>
      </c>
      <c r="G55" t="inlineStr">
        <is>
          <t>P-400</t>
        </is>
      </c>
      <c r="H55" t="inlineStr">
        <is>
          <t>Laptop</t>
        </is>
      </c>
      <c r="I55" t="inlineStr">
        <is>
          <t>Tecnologia</t>
        </is>
      </c>
      <c r="J55" t="inlineStr">
        <is>
          <t>Centro</t>
        </is>
      </c>
      <c r="K55" t="inlineStr">
        <is>
          <t>SUC-07</t>
        </is>
      </c>
      <c r="L55" t="inlineStr">
        <is>
          <t>Digital</t>
        </is>
      </c>
      <c r="M55" t="inlineStr">
        <is>
          <t>Cancelado</t>
        </is>
      </c>
      <c r="N55" t="inlineStr">
        <is>
          <t>Media</t>
        </is>
      </c>
      <c r="O55" t="n">
        <v>22</v>
      </c>
      <c r="P55" s="14" t="n">
        <v>7898</v>
      </c>
      <c r="Q55" s="15" t="n">
        <v>0.1</v>
      </c>
      <c r="R55" s="14" t="n">
        <v>4817.78</v>
      </c>
      <c r="S55" s="12" t="n">
        <v>46172</v>
      </c>
      <c r="T55" s="12" t="n">
        <v>46173</v>
      </c>
      <c r="U55" t="inlineStr">
        <is>
          <t>Resp 7</t>
        </is>
      </c>
      <c r="V55" t="inlineStr">
        <is>
          <t>archivo_01.csv</t>
        </is>
      </c>
      <c r="W55" s="14" t="n">
        <v>173756</v>
      </c>
      <c r="X55" s="14" t="n">
        <v>17375.6</v>
      </c>
      <c r="Y55" s="14" t="n">
        <v>156380.4</v>
      </c>
      <c r="Z55" s="14" t="n">
        <v>105991.16</v>
      </c>
      <c r="AA55" s="14" t="n">
        <v>50389.24000000001</v>
      </c>
      <c r="AB55" s="15" t="n">
        <v>0.3222222222222222</v>
      </c>
      <c r="AC55" t="n">
        <v>12</v>
      </c>
      <c r="AD55" t="inlineStr">
        <is>
          <t>CENTRO|OP-000054|20260519|P-400</t>
        </is>
      </c>
      <c r="AE55" t="n">
        <v>1</v>
      </c>
    </row>
    <row r="56">
      <c r="A56" t="n">
        <v>55</v>
      </c>
      <c r="B56" t="inlineStr">
        <is>
          <t>OP-000055</t>
        </is>
      </c>
      <c r="C56" s="12" t="n">
        <v>46168</v>
      </c>
      <c r="D56" s="13" t="n">
        <v>0.6076388888888888</v>
      </c>
      <c r="E56" t="inlineStr">
        <is>
          <t>C-0021</t>
        </is>
      </c>
      <c r="F56" t="inlineStr">
        <is>
          <t>Cliente 21</t>
        </is>
      </c>
      <c r="G56" t="inlineStr">
        <is>
          <t>P-500</t>
        </is>
      </c>
      <c r="H56" t="inlineStr">
        <is>
          <t>Dock</t>
        </is>
      </c>
      <c r="I56" t="inlineStr">
        <is>
          <t>Tecnologia</t>
        </is>
      </c>
      <c r="J56" t="inlineStr">
        <is>
          <t>Sur</t>
        </is>
      </c>
      <c r="K56" t="inlineStr">
        <is>
          <t>SUC-08</t>
        </is>
      </c>
      <c r="L56" t="inlineStr">
        <is>
          <t>Tienda</t>
        </is>
      </c>
      <c r="M56" t="inlineStr">
        <is>
          <t>En revision</t>
        </is>
      </c>
      <c r="N56" t="inlineStr">
        <is>
          <t>Baja</t>
        </is>
      </c>
      <c r="O56" t="n">
        <v>25</v>
      </c>
      <c r="P56" s="14" t="n">
        <v>8035</v>
      </c>
      <c r="Q56" s="15" t="n">
        <v>0.15</v>
      </c>
      <c r="R56" s="14" t="n">
        <v>4981.7</v>
      </c>
      <c r="S56" s="12" t="n">
        <v>46180</v>
      </c>
      <c r="T56" s="12" t="n">
        <v>46181</v>
      </c>
      <c r="U56" t="inlineStr">
        <is>
          <t>Resp 8</t>
        </is>
      </c>
      <c r="V56" t="inlineStr">
        <is>
          <t>archivo_02.csv</t>
        </is>
      </c>
      <c r="W56" s="14" t="n">
        <v>200875</v>
      </c>
      <c r="X56" s="14" t="n">
        <v>30131.25</v>
      </c>
      <c r="Y56" s="14" t="n">
        <v>170743.75</v>
      </c>
      <c r="Z56" s="14" t="n">
        <v>124542.5</v>
      </c>
      <c r="AA56" s="14" t="n">
        <v>46201.25</v>
      </c>
      <c r="AB56" s="15" t="n">
        <v>0.2705882352941176</v>
      </c>
      <c r="AC56" t="n">
        <v>13</v>
      </c>
      <c r="AD56" t="inlineStr">
        <is>
          <t>SUR|OP-000055|20260526|P-500</t>
        </is>
      </c>
      <c r="AE56" t="n">
        <v>1</v>
      </c>
    </row>
    <row r="57">
      <c r="A57" t="n">
        <v>56</v>
      </c>
      <c r="B57" t="inlineStr">
        <is>
          <t>OP-000056</t>
        </is>
      </c>
      <c r="C57" s="12" t="n">
        <v>46175</v>
      </c>
      <c r="D57" s="13" t="n">
        <v>0.6527777777777778</v>
      </c>
      <c r="E57" t="inlineStr">
        <is>
          <t>C-0022</t>
        </is>
      </c>
      <c r="F57" t="inlineStr">
        <is>
          <t>Cliente 22</t>
        </is>
      </c>
      <c r="G57" t="inlineStr">
        <is>
          <t>P-100</t>
        </is>
      </c>
      <c r="H57" t="inlineStr">
        <is>
          <t>Monitor 24</t>
        </is>
      </c>
      <c r="I57" t="inlineStr">
        <is>
          <t>Tecnologia</t>
        </is>
      </c>
      <c r="J57" t="inlineStr">
        <is>
          <t>Pacifico</t>
        </is>
      </c>
      <c r="K57" t="inlineStr">
        <is>
          <t>SUC-01</t>
        </is>
      </c>
      <c r="L57" t="inlineStr">
        <is>
          <t>Distribuidor</t>
        </is>
      </c>
      <c r="M57" t="inlineStr">
        <is>
          <t>Aprobado</t>
        </is>
      </c>
      <c r="N57" t="inlineStr">
        <is>
          <t>Critica</t>
        </is>
      </c>
      <c r="O57" t="n">
        <v>28</v>
      </c>
      <c r="P57" s="14" t="n">
        <v>8172</v>
      </c>
      <c r="Q57" s="15" t="n">
        <v>0</v>
      </c>
      <c r="R57" s="14" t="n">
        <v>4494.6</v>
      </c>
      <c r="S57" s="12" t="n">
        <v>46188</v>
      </c>
      <c r="T57" s="12" t="n">
        <v>46189</v>
      </c>
      <c r="U57" t="inlineStr">
        <is>
          <t>Resp 9</t>
        </is>
      </c>
      <c r="V57" t="inlineStr">
        <is>
          <t>archivo_03.csv</t>
        </is>
      </c>
      <c r="W57" s="14" t="n">
        <v>228816</v>
      </c>
      <c r="X57" s="14" t="n">
        <v>0</v>
      </c>
      <c r="Y57" s="14" t="n">
        <v>228816</v>
      </c>
      <c r="Z57" s="14" t="n">
        <v>125848.8</v>
      </c>
      <c r="AA57" s="14" t="n">
        <v>102967.2</v>
      </c>
      <c r="AB57" s="15" t="n">
        <v>0.4499999999999999</v>
      </c>
      <c r="AC57" t="n">
        <v>14</v>
      </c>
      <c r="AD57" t="inlineStr">
        <is>
          <t>PACIFICO|OP-000056|20260602|P-100</t>
        </is>
      </c>
      <c r="AE57" t="n">
        <v>1</v>
      </c>
    </row>
    <row r="58">
      <c r="A58" t="n">
        <v>57</v>
      </c>
      <c r="B58" t="inlineStr">
        <is>
          <t>OP-000057</t>
        </is>
      </c>
      <c r="C58" s="12" t="n">
        <v>46182</v>
      </c>
      <c r="D58" s="13" t="n">
        <v>0.6979166666666666</v>
      </c>
      <c r="E58" t="inlineStr">
        <is>
          <t>C-0023</t>
        </is>
      </c>
      <c r="F58" t="inlineStr">
        <is>
          <t>Cliente 23</t>
        </is>
      </c>
      <c r="G58" t="inlineStr">
        <is>
          <t>P-200</t>
        </is>
      </c>
      <c r="H58" t="inlineStr">
        <is>
          <t>Teclado</t>
        </is>
      </c>
      <c r="I58" t="inlineStr">
        <is>
          <t>Tecnologia</t>
        </is>
      </c>
      <c r="J58" t="inlineStr">
        <is>
          <t>Norte</t>
        </is>
      </c>
      <c r="K58" t="inlineStr">
        <is>
          <t>SUC-02</t>
        </is>
      </c>
      <c r="L58" t="inlineStr">
        <is>
          <t>Digital</t>
        </is>
      </c>
      <c r="M58" t="inlineStr">
        <is>
          <t>Pendiente</t>
        </is>
      </c>
      <c r="N58" t="inlineStr">
        <is>
          <t>Alta</t>
        </is>
      </c>
      <c r="O58" t="n">
        <v>31</v>
      </c>
      <c r="P58" s="14" t="n">
        <v>8309</v>
      </c>
      <c r="Q58" s="15" t="n">
        <v>0.05</v>
      </c>
      <c r="R58" s="14" t="n">
        <v>4653.04</v>
      </c>
      <c r="S58" s="12" t="n">
        <v>46196</v>
      </c>
      <c r="T58" s="12" t="n">
        <v>46197</v>
      </c>
      <c r="U58" t="inlineStr">
        <is>
          <t>Resp 10</t>
        </is>
      </c>
      <c r="V58" t="inlineStr">
        <is>
          <t>archivo_04.csv</t>
        </is>
      </c>
      <c r="W58" s="14" t="n">
        <v>257579</v>
      </c>
      <c r="X58" s="14" t="n">
        <v>12878.95</v>
      </c>
      <c r="Y58" s="14" t="n">
        <v>244700.05</v>
      </c>
      <c r="Z58" s="14" t="n">
        <v>144244.24</v>
      </c>
      <c r="AA58" s="14" t="n">
        <v>100455.81</v>
      </c>
      <c r="AB58" s="15" t="n">
        <v>0.4105263157894737</v>
      </c>
      <c r="AC58" t="n">
        <v>15</v>
      </c>
      <c r="AD58" t="inlineStr">
        <is>
          <t>NORTE|OP-000057|20260609|P-200</t>
        </is>
      </c>
      <c r="AE58" t="n">
        <v>1</v>
      </c>
    </row>
    <row r="59">
      <c r="A59" t="n">
        <v>58</v>
      </c>
      <c r="B59" t="inlineStr">
        <is>
          <t>OP-000058</t>
        </is>
      </c>
      <c r="C59" s="12" t="n">
        <v>46189</v>
      </c>
      <c r="D59" s="13" t="n">
        <v>0.7430555555555556</v>
      </c>
      <c r="E59" t="inlineStr">
        <is>
          <t>C-0024</t>
        </is>
      </c>
      <c r="F59" t="inlineStr">
        <is>
          <t>Cliente 24</t>
        </is>
      </c>
      <c r="G59" t="inlineStr">
        <is>
          <t>P-300</t>
        </is>
      </c>
      <c r="H59" t="inlineStr">
        <is>
          <t>Mouse</t>
        </is>
      </c>
      <c r="I59" t="inlineStr">
        <is>
          <t>Tecnologia</t>
        </is>
      </c>
      <c r="J59" t="inlineStr">
        <is>
          <t>Centro</t>
        </is>
      </c>
      <c r="K59" t="inlineStr">
        <is>
          <t>SUC-03</t>
        </is>
      </c>
      <c r="L59" t="inlineStr">
        <is>
          <t>Tienda</t>
        </is>
      </c>
      <c r="M59" t="inlineStr">
        <is>
          <t>Cancelado</t>
        </is>
      </c>
      <c r="N59" t="inlineStr">
        <is>
          <t>Media</t>
        </is>
      </c>
      <c r="O59" t="n">
        <v>34</v>
      </c>
      <c r="P59" s="14" t="n">
        <v>8446</v>
      </c>
      <c r="Q59" s="15" t="n">
        <v>0.1</v>
      </c>
      <c r="R59" s="14" t="n">
        <v>4814.22</v>
      </c>
      <c r="S59" s="12" t="n">
        <v>46204</v>
      </c>
      <c r="T59" s="12" t="n">
        <v>46205</v>
      </c>
      <c r="U59" t="inlineStr">
        <is>
          <t>Resp 11</t>
        </is>
      </c>
      <c r="V59" t="inlineStr">
        <is>
          <t>archivo_05.csv</t>
        </is>
      </c>
      <c r="W59" s="14" t="n">
        <v>287164</v>
      </c>
      <c r="X59" s="14" t="n">
        <v>28716.4</v>
      </c>
      <c r="Y59" s="14" t="n">
        <v>258447.6</v>
      </c>
      <c r="Z59" s="14" t="n">
        <v>163683.48</v>
      </c>
      <c r="AA59" s="14" t="n">
        <v>94764.12</v>
      </c>
      <c r="AB59" s="15" t="n">
        <v>0.3666666666666666</v>
      </c>
      <c r="AC59" t="n">
        <v>16</v>
      </c>
      <c r="AD59" t="inlineStr">
        <is>
          <t>CENTRO|OP-000058|20260616|P-300</t>
        </is>
      </c>
      <c r="AE59" t="n">
        <v>1</v>
      </c>
    </row>
    <row r="60">
      <c r="A60" t="n">
        <v>59</v>
      </c>
      <c r="B60" t="inlineStr">
        <is>
          <t>OP-000059</t>
        </is>
      </c>
      <c r="C60" s="12" t="n">
        <v>46196</v>
      </c>
      <c r="D60" s="13" t="n">
        <v>0.7881944444444444</v>
      </c>
      <c r="E60" t="inlineStr">
        <is>
          <t>C-0025</t>
        </is>
      </c>
      <c r="F60" t="inlineStr">
        <is>
          <t>Cliente 25</t>
        </is>
      </c>
      <c r="G60" t="inlineStr">
        <is>
          <t>P-400</t>
        </is>
      </c>
      <c r="H60" t="inlineStr">
        <is>
          <t>Laptop</t>
        </is>
      </c>
      <c r="I60" t="inlineStr">
        <is>
          <t>Tecnologia</t>
        </is>
      </c>
      <c r="J60" t="inlineStr">
        <is>
          <t>Sur</t>
        </is>
      </c>
      <c r="K60" t="inlineStr">
        <is>
          <t>SUC-04</t>
        </is>
      </c>
      <c r="L60" t="inlineStr">
        <is>
          <t>Distribuidor</t>
        </is>
      </c>
      <c r="M60" t="inlineStr">
        <is>
          <t>En revision</t>
        </is>
      </c>
      <c r="N60" t="inlineStr">
        <is>
          <t>Baja</t>
        </is>
      </c>
      <c r="O60" t="n">
        <v>37</v>
      </c>
      <c r="P60" s="14" t="n">
        <v>8583</v>
      </c>
      <c r="Q60" s="15" t="n">
        <v>0.15</v>
      </c>
      <c r="R60" s="14" t="n">
        <v>4978.14</v>
      </c>
      <c r="S60" s="12" t="n">
        <v>46212</v>
      </c>
      <c r="T60" s="12" t="n">
        <v>46213</v>
      </c>
      <c r="U60" t="inlineStr">
        <is>
          <t>Resp 12</t>
        </is>
      </c>
      <c r="V60" t="inlineStr">
        <is>
          <t>archivo_06.csv</t>
        </is>
      </c>
      <c r="W60" s="14" t="n">
        <v>317571</v>
      </c>
      <c r="X60" s="14" t="n">
        <v>47635.65</v>
      </c>
      <c r="Y60" s="14" t="n">
        <v>269935.35</v>
      </c>
      <c r="Z60" s="14" t="n">
        <v>184191.18</v>
      </c>
      <c r="AA60" s="14" t="n">
        <v>85744.16999999995</v>
      </c>
      <c r="AB60" s="15" t="n">
        <v>0.3176470588235293</v>
      </c>
      <c r="AC60" t="n">
        <v>17</v>
      </c>
      <c r="AD60" t="inlineStr">
        <is>
          <t>SUR|OP-000059|20260623|P-400</t>
        </is>
      </c>
      <c r="AE60" t="n">
        <v>1</v>
      </c>
    </row>
    <row r="61">
      <c r="A61" t="n">
        <v>60</v>
      </c>
      <c r="B61" t="inlineStr">
        <is>
          <t>OP-000060</t>
        </is>
      </c>
      <c r="C61" s="12" t="n">
        <v>46203</v>
      </c>
      <c r="D61" s="13" t="n">
        <v>0.2916666666666667</v>
      </c>
      <c r="E61" t="inlineStr">
        <is>
          <t>C-0026</t>
        </is>
      </c>
      <c r="F61" t="inlineStr">
        <is>
          <t>Cliente 26</t>
        </is>
      </c>
      <c r="G61" t="inlineStr">
        <is>
          <t>P-500</t>
        </is>
      </c>
      <c r="H61" t="inlineStr">
        <is>
          <t>Dock</t>
        </is>
      </c>
      <c r="I61" t="inlineStr">
        <is>
          <t>Tecnologia</t>
        </is>
      </c>
      <c r="J61" t="inlineStr">
        <is>
          <t>Pacifico</t>
        </is>
      </c>
      <c r="K61" t="inlineStr">
        <is>
          <t>SUC-05</t>
        </is>
      </c>
      <c r="L61" t="inlineStr">
        <is>
          <t>Digital</t>
        </is>
      </c>
      <c r="M61" t="inlineStr">
        <is>
          <t>Aprobado</t>
        </is>
      </c>
      <c r="N61" t="inlineStr">
        <is>
          <t>Critica</t>
        </is>
      </c>
      <c r="O61" t="n">
        <v>40</v>
      </c>
      <c r="P61" s="14" t="n">
        <v>8720</v>
      </c>
      <c r="Q61" s="15" t="n">
        <v>0</v>
      </c>
      <c r="R61" s="14" t="n">
        <v>5144.8</v>
      </c>
      <c r="S61" s="12" t="n">
        <v>46210</v>
      </c>
      <c r="T61" s="12" t="n">
        <v>46206</v>
      </c>
      <c r="U61" t="inlineStr">
        <is>
          <t>Resp 1</t>
        </is>
      </c>
      <c r="V61" t="inlineStr">
        <is>
          <t>archivo_01.csv</t>
        </is>
      </c>
      <c r="W61" s="14" t="n">
        <v>348800</v>
      </c>
      <c r="X61" s="14" t="n">
        <v>0</v>
      </c>
      <c r="Y61" s="14" t="n">
        <v>348800</v>
      </c>
      <c r="Z61" s="14" t="n">
        <v>205792</v>
      </c>
      <c r="AA61" s="14" t="n">
        <v>143008</v>
      </c>
      <c r="AB61" s="15" t="n">
        <v>0.41</v>
      </c>
      <c r="AC61" t="n">
        <v>3</v>
      </c>
      <c r="AD61" t="inlineStr">
        <is>
          <t>PACIFICO|OP-000060|20260630|P-500</t>
        </is>
      </c>
      <c r="AE61" t="n">
        <v>1</v>
      </c>
    </row>
    <row r="62">
      <c r="A62" t="n">
        <v>61</v>
      </c>
      <c r="B62" t="inlineStr">
        <is>
          <t>OP-000061</t>
        </is>
      </c>
      <c r="C62" s="12" t="n">
        <v>46210</v>
      </c>
      <c r="D62" s="13" t="n">
        <v>0.3368055555555556</v>
      </c>
      <c r="E62" t="inlineStr">
        <is>
          <t>C-0027</t>
        </is>
      </c>
      <c r="F62" t="inlineStr">
        <is>
          <t>Cliente 27</t>
        </is>
      </c>
      <c r="G62" t="inlineStr">
        <is>
          <t>P-100</t>
        </is>
      </c>
      <c r="H62" t="inlineStr">
        <is>
          <t>Monitor 24</t>
        </is>
      </c>
      <c r="I62" t="inlineStr">
        <is>
          <t>Tecnologia</t>
        </is>
      </c>
      <c r="J62" t="inlineStr">
        <is>
          <t>Norte</t>
        </is>
      </c>
      <c r="K62" t="inlineStr">
        <is>
          <t>SUC-06</t>
        </is>
      </c>
      <c r="L62" t="inlineStr">
        <is>
          <t>Tienda</t>
        </is>
      </c>
      <c r="M62" t="inlineStr">
        <is>
          <t>Pendiente</t>
        </is>
      </c>
      <c r="N62" t="inlineStr">
        <is>
          <t>Alta</t>
        </is>
      </c>
      <c r="O62" t="n">
        <v>43</v>
      </c>
      <c r="P62" s="14" t="n">
        <v>8857</v>
      </c>
      <c r="Q62" s="15" t="n">
        <v>0.05</v>
      </c>
      <c r="R62" s="14" t="n">
        <v>5314.2</v>
      </c>
      <c r="S62" s="12" t="n">
        <v>46218</v>
      </c>
      <c r="T62" s="12" t="n">
        <v>46214</v>
      </c>
      <c r="U62" t="inlineStr">
        <is>
          <t>Resp 2</t>
        </is>
      </c>
      <c r="V62" t="inlineStr">
        <is>
          <t>archivo_02.csv</t>
        </is>
      </c>
      <c r="W62" s="14" t="n">
        <v>380851</v>
      </c>
      <c r="X62" s="14" t="n">
        <v>19042.55</v>
      </c>
      <c r="Y62" s="14" t="n">
        <v>361808.45</v>
      </c>
      <c r="Z62" s="14" t="n">
        <v>228510.6</v>
      </c>
      <c r="AA62" s="14" t="n">
        <v>133297.85</v>
      </c>
      <c r="AB62" s="15" t="n">
        <v>0.3684210526315789</v>
      </c>
      <c r="AC62" t="n">
        <v>4</v>
      </c>
      <c r="AD62" t="inlineStr">
        <is>
          <t>NORTE|OP-000061|20260707|P-100</t>
        </is>
      </c>
      <c r="AE62" t="n">
        <v>1</v>
      </c>
    </row>
    <row r="63">
      <c r="A63" t="n">
        <v>62</v>
      </c>
      <c r="B63" t="inlineStr">
        <is>
          <t>OP-000062</t>
        </is>
      </c>
      <c r="C63" s="12" t="n">
        <v>46217</v>
      </c>
      <c r="D63" s="13" t="n">
        <v>0.3819444444444444</v>
      </c>
      <c r="E63" t="inlineStr">
        <is>
          <t>C-0028</t>
        </is>
      </c>
      <c r="F63" t="inlineStr">
        <is>
          <t>Cliente 28</t>
        </is>
      </c>
      <c r="G63" t="inlineStr">
        <is>
          <t>P-200</t>
        </is>
      </c>
      <c r="H63" t="inlineStr">
        <is>
          <t>Teclado</t>
        </is>
      </c>
      <c r="I63" t="inlineStr">
        <is>
          <t>Tecnologia</t>
        </is>
      </c>
      <c r="J63" t="inlineStr">
        <is>
          <t>Centro</t>
        </is>
      </c>
      <c r="K63" t="inlineStr">
        <is>
          <t>SUC-07</t>
        </is>
      </c>
      <c r="L63" t="inlineStr">
        <is>
          <t>Distribuidor</t>
        </is>
      </c>
      <c r="M63" t="inlineStr">
        <is>
          <t>Cancelado</t>
        </is>
      </c>
      <c r="N63" t="inlineStr">
        <is>
          <t>Media</t>
        </is>
      </c>
      <c r="O63" t="n">
        <v>46</v>
      </c>
      <c r="P63" s="14" t="n">
        <v>8994</v>
      </c>
      <c r="Q63" s="15" t="n">
        <v>0.1</v>
      </c>
      <c r="R63" s="14" t="n">
        <v>5486.34</v>
      </c>
      <c r="S63" s="12" t="n">
        <v>46226</v>
      </c>
      <c r="T63" s="12" t="n">
        <v>46222</v>
      </c>
      <c r="U63" t="inlineStr">
        <is>
          <t>Resp 3</t>
        </is>
      </c>
      <c r="V63" t="inlineStr">
        <is>
          <t>archivo_03.csv</t>
        </is>
      </c>
      <c r="W63" s="14" t="n">
        <v>413724</v>
      </c>
      <c r="X63" s="14" t="n">
        <v>41372.4</v>
      </c>
      <c r="Y63" s="14" t="n">
        <v>372351.6</v>
      </c>
      <c r="Z63" s="14" t="n">
        <v>252371.64</v>
      </c>
      <c r="AA63" s="14" t="n">
        <v>119979.96</v>
      </c>
      <c r="AB63" s="15" t="n">
        <v>0.3222222222222221</v>
      </c>
      <c r="AC63" t="n">
        <v>5</v>
      </c>
      <c r="AD63" t="inlineStr">
        <is>
          <t>CENTRO|OP-000062|20260714|P-200</t>
        </is>
      </c>
      <c r="AE63" t="n">
        <v>1</v>
      </c>
    </row>
    <row r="64">
      <c r="A64" t="n">
        <v>63</v>
      </c>
      <c r="B64" t="inlineStr">
        <is>
          <t>OP-000063</t>
        </is>
      </c>
      <c r="C64" s="12" t="n">
        <v>46224</v>
      </c>
      <c r="D64" s="13" t="n">
        <v>0.4270833333333333</v>
      </c>
      <c r="E64" t="inlineStr">
        <is>
          <t>C-0029</t>
        </is>
      </c>
      <c r="F64" t="inlineStr">
        <is>
          <t>Cliente 29</t>
        </is>
      </c>
      <c r="G64" t="inlineStr">
        <is>
          <t>P-300</t>
        </is>
      </c>
      <c r="H64" t="inlineStr">
        <is>
          <t>Mouse</t>
        </is>
      </c>
      <c r="I64" t="inlineStr">
        <is>
          <t>Tecnologia</t>
        </is>
      </c>
      <c r="J64" t="inlineStr">
        <is>
          <t>Sur</t>
        </is>
      </c>
      <c r="K64" t="inlineStr">
        <is>
          <t>SUC-08</t>
        </is>
      </c>
      <c r="L64" t="inlineStr">
        <is>
          <t>Digital</t>
        </is>
      </c>
      <c r="M64" t="inlineStr">
        <is>
          <t>En revision</t>
        </is>
      </c>
      <c r="N64" t="inlineStr">
        <is>
          <t>Baja</t>
        </is>
      </c>
      <c r="O64" t="n">
        <v>2</v>
      </c>
      <c r="P64" s="14" t="n">
        <v>9131</v>
      </c>
      <c r="Q64" s="15" t="n">
        <v>0.15</v>
      </c>
      <c r="R64" s="14" t="n">
        <v>5661.22</v>
      </c>
      <c r="S64" s="12" t="n">
        <v>46234</v>
      </c>
      <c r="T64" s="12" t="n">
        <v>46230</v>
      </c>
      <c r="U64" t="inlineStr">
        <is>
          <t>Resp 4</t>
        </is>
      </c>
      <c r="V64" t="inlineStr">
        <is>
          <t>archivo_04.csv</t>
        </is>
      </c>
      <c r="W64" s="14" t="n">
        <v>18262</v>
      </c>
      <c r="X64" s="14" t="n">
        <v>2739.3</v>
      </c>
      <c r="Y64" s="14" t="n">
        <v>15522.7</v>
      </c>
      <c r="Z64" s="14" t="n">
        <v>11322.44</v>
      </c>
      <c r="AA64" s="14" t="n">
        <v>4200.26</v>
      </c>
      <c r="AB64" s="15" t="n">
        <v>0.2705882352941176</v>
      </c>
      <c r="AC64" t="n">
        <v>6</v>
      </c>
      <c r="AD64" t="inlineStr">
        <is>
          <t>SUR|OP-000063|20260721|P-300</t>
        </is>
      </c>
      <c r="AE64" t="n">
        <v>1</v>
      </c>
    </row>
    <row r="65">
      <c r="A65" t="n">
        <v>64</v>
      </c>
      <c r="B65" t="inlineStr">
        <is>
          <t>OP-000064</t>
        </is>
      </c>
      <c r="C65" s="12" t="n">
        <v>46231</v>
      </c>
      <c r="D65" s="13" t="n">
        <v>0.4722222222222222</v>
      </c>
      <c r="E65" t="inlineStr">
        <is>
          <t>C-0030</t>
        </is>
      </c>
      <c r="F65" t="inlineStr">
        <is>
          <t>Cliente 30</t>
        </is>
      </c>
      <c r="G65" t="inlineStr">
        <is>
          <t>P-400</t>
        </is>
      </c>
      <c r="H65" t="inlineStr">
        <is>
          <t>Laptop</t>
        </is>
      </c>
      <c r="I65" t="inlineStr">
        <is>
          <t>Tecnologia</t>
        </is>
      </c>
      <c r="J65" t="inlineStr">
        <is>
          <t>Pacifico</t>
        </is>
      </c>
      <c r="K65" t="inlineStr">
        <is>
          <t>SUC-01</t>
        </is>
      </c>
      <c r="L65" t="inlineStr">
        <is>
          <t>Tienda</t>
        </is>
      </c>
      <c r="M65" t="inlineStr">
        <is>
          <t>Aprobado</t>
        </is>
      </c>
      <c r="N65" t="inlineStr">
        <is>
          <t>Critica</t>
        </is>
      </c>
      <c r="O65" t="n">
        <v>5</v>
      </c>
      <c r="P65" s="14" t="n">
        <v>9268</v>
      </c>
      <c r="Q65" s="15" t="n">
        <v>0</v>
      </c>
      <c r="R65" s="14" t="n">
        <v>5097.4</v>
      </c>
      <c r="S65" s="12" t="n">
        <v>46242</v>
      </c>
      <c r="T65" s="12" t="n">
        <v>46238</v>
      </c>
      <c r="U65" t="inlineStr">
        <is>
          <t>Resp 5</t>
        </is>
      </c>
      <c r="V65" t="inlineStr">
        <is>
          <t>archivo_05.csv</t>
        </is>
      </c>
      <c r="W65" s="14" t="n">
        <v>46340</v>
      </c>
      <c r="X65" s="14" t="n">
        <v>0</v>
      </c>
      <c r="Y65" s="14" t="n">
        <v>46340</v>
      </c>
      <c r="Z65" s="14" t="n">
        <v>25487</v>
      </c>
      <c r="AA65" s="14" t="n">
        <v>20853</v>
      </c>
      <c r="AB65" s="15" t="n">
        <v>0.45</v>
      </c>
      <c r="AC65" t="n">
        <v>7</v>
      </c>
      <c r="AD65" t="inlineStr">
        <is>
          <t>PACIFICO|OP-000064|20260728|P-400</t>
        </is>
      </c>
      <c r="AE65" t="n">
        <v>1</v>
      </c>
    </row>
    <row r="66">
      <c r="A66" t="n">
        <v>65</v>
      </c>
      <c r="B66" t="inlineStr">
        <is>
          <t>OP-000065</t>
        </is>
      </c>
      <c r="C66" s="12" t="n">
        <v>46238</v>
      </c>
      <c r="D66" s="13" t="n">
        <v>0.5173611111111112</v>
      </c>
      <c r="E66" t="inlineStr">
        <is>
          <t>C-0031</t>
        </is>
      </c>
      <c r="F66" t="inlineStr">
        <is>
          <t>Cliente 31</t>
        </is>
      </c>
      <c r="G66" t="inlineStr">
        <is>
          <t>P-500</t>
        </is>
      </c>
      <c r="H66" t="inlineStr">
        <is>
          <t>Dock</t>
        </is>
      </c>
      <c r="I66" t="inlineStr">
        <is>
          <t>Tecnologia</t>
        </is>
      </c>
      <c r="J66" t="inlineStr">
        <is>
          <t>Norte</t>
        </is>
      </c>
      <c r="K66" t="inlineStr">
        <is>
          <t>SUC-02</t>
        </is>
      </c>
      <c r="L66" t="inlineStr">
        <is>
          <t>Distribuidor</t>
        </is>
      </c>
      <c r="M66" t="inlineStr">
        <is>
          <t>Pendiente</t>
        </is>
      </c>
      <c r="N66" t="inlineStr">
        <is>
          <t>Alta</t>
        </is>
      </c>
      <c r="O66" t="n">
        <v>8</v>
      </c>
      <c r="P66" s="14" t="n">
        <v>9405</v>
      </c>
      <c r="Q66" s="15" t="n">
        <v>0.05</v>
      </c>
      <c r="R66" s="14" t="n">
        <v>5266.8</v>
      </c>
      <c r="S66" s="12" t="n">
        <v>46250</v>
      </c>
      <c r="T66" s="12" t="n">
        <v>46246</v>
      </c>
      <c r="U66" t="inlineStr">
        <is>
          <t>Resp 6</t>
        </is>
      </c>
      <c r="V66" t="inlineStr">
        <is>
          <t>archivo_06.csv</t>
        </is>
      </c>
      <c r="W66" s="14" t="n">
        <v>75240</v>
      </c>
      <c r="X66" s="14" t="n">
        <v>3762</v>
      </c>
      <c r="Y66" s="14" t="n">
        <v>71478</v>
      </c>
      <c r="Z66" s="14" t="n">
        <v>42134.4</v>
      </c>
      <c r="AA66" s="14" t="n">
        <v>29343.6</v>
      </c>
      <c r="AB66" s="15" t="n">
        <v>0.4105263157894737</v>
      </c>
      <c r="AC66" t="n">
        <v>8</v>
      </c>
      <c r="AD66" t="inlineStr">
        <is>
          <t>NORTE|OP-000065|20260804|P-500</t>
        </is>
      </c>
      <c r="AE66" t="n">
        <v>1</v>
      </c>
    </row>
    <row r="67">
      <c r="A67" t="n">
        <v>66</v>
      </c>
      <c r="B67" t="inlineStr">
        <is>
          <t>OP-000066</t>
        </is>
      </c>
      <c r="C67" s="12" t="n">
        <v>46245</v>
      </c>
      <c r="D67" s="13" t="n">
        <v>0.5625</v>
      </c>
      <c r="E67" t="inlineStr">
        <is>
          <t>C-0032</t>
        </is>
      </c>
      <c r="F67" t="inlineStr">
        <is>
          <t>Cliente 32</t>
        </is>
      </c>
      <c r="G67" t="inlineStr">
        <is>
          <t>P-100</t>
        </is>
      </c>
      <c r="H67" t="inlineStr">
        <is>
          <t>Monitor 24</t>
        </is>
      </c>
      <c r="I67" t="inlineStr">
        <is>
          <t>Tecnologia</t>
        </is>
      </c>
      <c r="J67" t="inlineStr">
        <is>
          <t>Centro</t>
        </is>
      </c>
      <c r="K67" t="inlineStr">
        <is>
          <t>SUC-03</t>
        </is>
      </c>
      <c r="L67" t="inlineStr">
        <is>
          <t>Digital</t>
        </is>
      </c>
      <c r="M67" t="inlineStr">
        <is>
          <t>Cancelado</t>
        </is>
      </c>
      <c r="N67" t="inlineStr">
        <is>
          <t>Media</t>
        </is>
      </c>
      <c r="O67" t="n">
        <v>11</v>
      </c>
      <c r="P67" s="14" t="n">
        <v>9542</v>
      </c>
      <c r="Q67" s="15" t="n">
        <v>0.1</v>
      </c>
      <c r="R67" s="14" t="n">
        <v>5438.94</v>
      </c>
      <c r="S67" s="12" t="n">
        <v>46258</v>
      </c>
      <c r="T67" s="12" t="n">
        <v>46254</v>
      </c>
      <c r="U67" t="inlineStr">
        <is>
          <t>Resp 7</t>
        </is>
      </c>
      <c r="V67" t="inlineStr">
        <is>
          <t>archivo_01.csv</t>
        </is>
      </c>
      <c r="W67" s="14" t="n">
        <v>104962</v>
      </c>
      <c r="X67" s="14" t="n">
        <v>10496.2</v>
      </c>
      <c r="Y67" s="14" t="n">
        <v>94465.8</v>
      </c>
      <c r="Z67" s="14" t="n">
        <v>59828.34</v>
      </c>
      <c r="AA67" s="14" t="n">
        <v>34637.46000000001</v>
      </c>
      <c r="AB67" s="15" t="n">
        <v>0.3666666666666667</v>
      </c>
      <c r="AC67" t="n">
        <v>9</v>
      </c>
      <c r="AD67" t="inlineStr">
        <is>
          <t>CENTRO|OP-000066|20260811|P-100</t>
        </is>
      </c>
      <c r="AE67" t="n">
        <v>1</v>
      </c>
    </row>
    <row r="68">
      <c r="A68" t="n">
        <v>67</v>
      </c>
      <c r="B68" t="inlineStr">
        <is>
          <t>OP-000067</t>
        </is>
      </c>
      <c r="C68" s="12" t="n">
        <v>46252</v>
      </c>
      <c r="D68" s="13" t="n">
        <v>0.6076388888888888</v>
      </c>
      <c r="E68" t="inlineStr">
        <is>
          <t>C-0033</t>
        </is>
      </c>
      <c r="F68" t="inlineStr">
        <is>
          <t>Cliente 33</t>
        </is>
      </c>
      <c r="G68" t="inlineStr">
        <is>
          <t>P-200</t>
        </is>
      </c>
      <c r="H68" t="inlineStr">
        <is>
          <t>Teclado</t>
        </is>
      </c>
      <c r="I68" t="inlineStr">
        <is>
          <t>Tecnologia</t>
        </is>
      </c>
      <c r="J68" t="inlineStr">
        <is>
          <t>Sur</t>
        </is>
      </c>
      <c r="K68" t="inlineStr">
        <is>
          <t>SUC-04</t>
        </is>
      </c>
      <c r="L68" t="inlineStr">
        <is>
          <t>Tienda</t>
        </is>
      </c>
      <c r="M68" t="inlineStr">
        <is>
          <t>En revision</t>
        </is>
      </c>
      <c r="N68" t="inlineStr">
        <is>
          <t>Baja</t>
        </is>
      </c>
      <c r="O68" t="n">
        <v>14</v>
      </c>
      <c r="P68" s="14" t="n">
        <v>9679</v>
      </c>
      <c r="Q68" s="15" t="n">
        <v>0.15</v>
      </c>
      <c r="R68" s="14" t="n">
        <v>5613.82</v>
      </c>
      <c r="S68" s="12" t="n">
        <v>46266</v>
      </c>
      <c r="T68" s="12" t="n">
        <v>46262</v>
      </c>
      <c r="U68" t="inlineStr">
        <is>
          <t>Resp 8</t>
        </is>
      </c>
      <c r="V68" t="inlineStr">
        <is>
          <t>archivo_02.csv</t>
        </is>
      </c>
      <c r="W68" s="14" t="n">
        <v>135506</v>
      </c>
      <c r="X68" s="14" t="n">
        <v>20325.9</v>
      </c>
      <c r="Y68" s="14" t="n">
        <v>115180.1</v>
      </c>
      <c r="Z68" s="14" t="n">
        <v>78593.48</v>
      </c>
      <c r="AA68" s="14" t="n">
        <v>36586.62000000001</v>
      </c>
      <c r="AB68" s="15" t="n">
        <v>0.3176470588235295</v>
      </c>
      <c r="AC68" t="n">
        <v>10</v>
      </c>
      <c r="AD68" t="inlineStr">
        <is>
          <t>SUR|OP-000067|20260818|P-200</t>
        </is>
      </c>
      <c r="AE68" t="n">
        <v>1</v>
      </c>
    </row>
    <row r="69">
      <c r="A69" t="n">
        <v>68</v>
      </c>
      <c r="B69" t="inlineStr">
        <is>
          <t>OP-000068</t>
        </is>
      </c>
      <c r="C69" s="12" t="n">
        <v>46259</v>
      </c>
      <c r="D69" s="13" t="n">
        <v>0.6527777777777778</v>
      </c>
      <c r="E69" t="inlineStr">
        <is>
          <t>C-0034</t>
        </is>
      </c>
      <c r="F69" t="inlineStr">
        <is>
          <t>Cliente 34</t>
        </is>
      </c>
      <c r="G69" t="inlineStr">
        <is>
          <t>P-300</t>
        </is>
      </c>
      <c r="H69" t="inlineStr">
        <is>
          <t>Mouse</t>
        </is>
      </c>
      <c r="I69" t="inlineStr">
        <is>
          <t>Tecnologia</t>
        </is>
      </c>
      <c r="J69" t="inlineStr">
        <is>
          <t>Pacifico</t>
        </is>
      </c>
      <c r="K69" t="inlineStr">
        <is>
          <t>SUC-05</t>
        </is>
      </c>
      <c r="L69" t="inlineStr">
        <is>
          <t>Distribuidor</t>
        </is>
      </c>
      <c r="M69" t="inlineStr">
        <is>
          <t>Aprobado</t>
        </is>
      </c>
      <c r="N69" t="inlineStr">
        <is>
          <t>Critica</t>
        </is>
      </c>
      <c r="O69" t="n">
        <v>17</v>
      </c>
      <c r="P69" s="14" t="n">
        <v>9816</v>
      </c>
      <c r="Q69" s="15" t="n">
        <v>0</v>
      </c>
      <c r="R69" s="14" t="n">
        <v>5791.44</v>
      </c>
      <c r="S69" s="12" t="n">
        <v>46274</v>
      </c>
      <c r="T69" s="12" t="n">
        <v>46270</v>
      </c>
      <c r="U69" t="inlineStr">
        <is>
          <t>Resp 9</t>
        </is>
      </c>
      <c r="V69" t="inlineStr">
        <is>
          <t>archivo_03.csv</t>
        </is>
      </c>
      <c r="W69" s="14" t="n">
        <v>166872</v>
      </c>
      <c r="X69" s="14" t="n">
        <v>0</v>
      </c>
      <c r="Y69" s="14" t="n">
        <v>166872</v>
      </c>
      <c r="Z69" s="14" t="n">
        <v>98454.48</v>
      </c>
      <c r="AA69" s="14" t="n">
        <v>68417.52</v>
      </c>
      <c r="AB69" s="15" t="n">
        <v>0.41</v>
      </c>
      <c r="AC69" t="n">
        <v>11</v>
      </c>
      <c r="AD69" t="inlineStr">
        <is>
          <t>PACIFICO|OP-000068|20260825|P-300</t>
        </is>
      </c>
      <c r="AE69" t="n">
        <v>1</v>
      </c>
    </row>
    <row r="70">
      <c r="A70" t="n">
        <v>69</v>
      </c>
      <c r="B70" t="inlineStr">
        <is>
          <t>OP-000069</t>
        </is>
      </c>
      <c r="C70" s="12" t="n">
        <v>46026</v>
      </c>
      <c r="D70" s="13" t="n">
        <v>0.6979166666666666</v>
      </c>
      <c r="E70" t="inlineStr">
        <is>
          <t>C-0035</t>
        </is>
      </c>
      <c r="F70" t="inlineStr">
        <is>
          <t>Cliente 35</t>
        </is>
      </c>
      <c r="G70" t="inlineStr">
        <is>
          <t>P-400</t>
        </is>
      </c>
      <c r="H70" t="inlineStr">
        <is>
          <t>Laptop</t>
        </is>
      </c>
      <c r="I70" t="inlineStr">
        <is>
          <t>Tecnologia</t>
        </is>
      </c>
      <c r="J70" t="inlineStr">
        <is>
          <t>Norte</t>
        </is>
      </c>
      <c r="K70" t="inlineStr">
        <is>
          <t>SUC-06</t>
        </is>
      </c>
      <c r="L70" t="inlineStr">
        <is>
          <t>Digital</t>
        </is>
      </c>
      <c r="M70" t="inlineStr">
        <is>
          <t>Pendiente</t>
        </is>
      </c>
      <c r="N70" t="inlineStr">
        <is>
          <t>Alta</t>
        </is>
      </c>
      <c r="O70" t="n">
        <v>20</v>
      </c>
      <c r="P70" s="14" t="n">
        <v>9953</v>
      </c>
      <c r="Q70" s="15" t="n">
        <v>0.05</v>
      </c>
      <c r="R70" s="14" t="n">
        <v>5971.8</v>
      </c>
      <c r="S70" s="12" t="n">
        <v>46042</v>
      </c>
      <c r="T70" s="12" t="n">
        <v>46038</v>
      </c>
      <c r="U70" t="inlineStr">
        <is>
          <t>Resp 10</t>
        </is>
      </c>
      <c r="V70" t="inlineStr">
        <is>
          <t>archivo_04.csv</t>
        </is>
      </c>
      <c r="W70" s="14" t="n">
        <v>199060</v>
      </c>
      <c r="X70" s="14" t="n">
        <v>9953</v>
      </c>
      <c r="Y70" s="14" t="n">
        <v>189107</v>
      </c>
      <c r="Z70" s="14" t="n">
        <v>119436</v>
      </c>
      <c r="AA70" s="14" t="n">
        <v>69671</v>
      </c>
      <c r="AB70" s="15" t="n">
        <v>0.3684210526315789</v>
      </c>
      <c r="AC70" t="n">
        <v>12</v>
      </c>
      <c r="AD70" t="inlineStr">
        <is>
          <t>NORTE|OP-000069|20260104|P-400</t>
        </is>
      </c>
      <c r="AE70" t="n">
        <v>1</v>
      </c>
    </row>
    <row r="71">
      <c r="A71" t="n">
        <v>70</v>
      </c>
      <c r="B71" t="inlineStr">
        <is>
          <t>OP-000070</t>
        </is>
      </c>
      <c r="C71" s="12" t="n">
        <v>46033</v>
      </c>
      <c r="D71" s="13" t="n">
        <v>0.7430555555555556</v>
      </c>
      <c r="E71" t="inlineStr">
        <is>
          <t>C-0001</t>
        </is>
      </c>
      <c r="F71" t="inlineStr">
        <is>
          <t>Cliente 1</t>
        </is>
      </c>
      <c r="G71" t="inlineStr">
        <is>
          <t>P-500</t>
        </is>
      </c>
      <c r="H71" t="inlineStr">
        <is>
          <t>Dock</t>
        </is>
      </c>
      <c r="I71" t="inlineStr">
        <is>
          <t>Tecnologia</t>
        </is>
      </c>
      <c r="J71" t="inlineStr">
        <is>
          <t>Centro</t>
        </is>
      </c>
      <c r="K71" t="inlineStr">
        <is>
          <t>SUC-07</t>
        </is>
      </c>
      <c r="L71" t="inlineStr">
        <is>
          <t>Tienda</t>
        </is>
      </c>
      <c r="M71" t="inlineStr">
        <is>
          <t>Cancelado</t>
        </is>
      </c>
      <c r="N71" t="inlineStr">
        <is>
          <t>Media</t>
        </is>
      </c>
      <c r="O71" t="n">
        <v>23</v>
      </c>
      <c r="P71" s="14" t="n">
        <v>10090</v>
      </c>
      <c r="Q71" s="15" t="n">
        <v>0.1</v>
      </c>
      <c r="R71" s="14" t="n">
        <v>6154.9</v>
      </c>
      <c r="S71" s="12" t="n">
        <v>46040</v>
      </c>
      <c r="T71" s="12" t="n">
        <v>46046</v>
      </c>
      <c r="U71" t="inlineStr">
        <is>
          <t>Resp 11</t>
        </is>
      </c>
      <c r="V71" t="inlineStr">
        <is>
          <t>archivo_05.csv</t>
        </is>
      </c>
      <c r="W71" s="14" t="n">
        <v>232070</v>
      </c>
      <c r="X71" s="14" t="n">
        <v>23207</v>
      </c>
      <c r="Y71" s="14" t="n">
        <v>208863</v>
      </c>
      <c r="Z71" s="14" t="n">
        <v>141562.7</v>
      </c>
      <c r="AA71" s="14" t="n">
        <v>67300.30000000002</v>
      </c>
      <c r="AB71" s="15" t="n">
        <v>0.3222222222222223</v>
      </c>
      <c r="AC71" t="n">
        <v>13</v>
      </c>
      <c r="AD71" t="inlineStr">
        <is>
          <t>CENTRO|OP-000070|20260111|P-500</t>
        </is>
      </c>
      <c r="AE71" t="n">
        <v>1</v>
      </c>
    </row>
    <row r="72">
      <c r="A72" t="n">
        <v>71</v>
      </c>
      <c r="B72" t="inlineStr">
        <is>
          <t>OP-000071</t>
        </is>
      </c>
      <c r="C72" s="12" t="n">
        <v>46040</v>
      </c>
      <c r="D72" s="13" t="n">
        <v>0.7881944444444444</v>
      </c>
      <c r="E72" t="inlineStr">
        <is>
          <t>C-0002</t>
        </is>
      </c>
      <c r="F72" t="inlineStr">
        <is>
          <t>Cliente 2</t>
        </is>
      </c>
      <c r="G72" t="inlineStr">
        <is>
          <t>P-100</t>
        </is>
      </c>
      <c r="H72" t="inlineStr">
        <is>
          <t>Monitor 24</t>
        </is>
      </c>
      <c r="I72" t="inlineStr">
        <is>
          <t>Tecnologia</t>
        </is>
      </c>
      <c r="J72" t="inlineStr">
        <is>
          <t>Sur</t>
        </is>
      </c>
      <c r="K72" t="inlineStr">
        <is>
          <t>SUC-08</t>
        </is>
      </c>
      <c r="L72" t="inlineStr">
        <is>
          <t>Distribuidor</t>
        </is>
      </c>
      <c r="M72" t="inlineStr">
        <is>
          <t>En revision</t>
        </is>
      </c>
      <c r="N72" t="inlineStr">
        <is>
          <t>Baja</t>
        </is>
      </c>
      <c r="O72" t="n">
        <v>26</v>
      </c>
      <c r="P72" s="14" t="n">
        <v>10227</v>
      </c>
      <c r="Q72" s="15" t="n">
        <v>0.15</v>
      </c>
      <c r="R72" s="14" t="n">
        <v>6340.74</v>
      </c>
      <c r="S72" s="12" t="n">
        <v>46048</v>
      </c>
      <c r="T72" s="12" t="n">
        <v>46054</v>
      </c>
      <c r="U72" t="inlineStr">
        <is>
          <t>Resp 12</t>
        </is>
      </c>
      <c r="V72" t="inlineStr">
        <is>
          <t>archivo_06.csv</t>
        </is>
      </c>
      <c r="W72" s="14" t="n">
        <v>265902</v>
      </c>
      <c r="X72" s="14" t="n">
        <v>39885.3</v>
      </c>
      <c r="Y72" s="14" t="n">
        <v>226016.7</v>
      </c>
      <c r="Z72" s="14" t="n">
        <v>164859.24</v>
      </c>
      <c r="AA72" s="14" t="n">
        <v>61157.46000000002</v>
      </c>
      <c r="AB72" s="15" t="n">
        <v>0.2705882352941177</v>
      </c>
      <c r="AC72" t="n">
        <v>14</v>
      </c>
      <c r="AD72" t="inlineStr">
        <is>
          <t>SUR|OP-000071|20260118|P-100</t>
        </is>
      </c>
      <c r="AE72" t="n">
        <v>1</v>
      </c>
    </row>
    <row r="73">
      <c r="A73" t="n">
        <v>72</v>
      </c>
      <c r="B73" t="inlineStr">
        <is>
          <t>OP-000072</t>
        </is>
      </c>
      <c r="C73" s="12" t="n">
        <v>46047</v>
      </c>
      <c r="D73" s="13" t="n">
        <v>0.2916666666666667</v>
      </c>
      <c r="E73" t="inlineStr">
        <is>
          <t>C-0003</t>
        </is>
      </c>
      <c r="F73" t="inlineStr">
        <is>
          <t>Cliente 3</t>
        </is>
      </c>
      <c r="G73" t="inlineStr">
        <is>
          <t>P-200</t>
        </is>
      </c>
      <c r="H73" t="inlineStr">
        <is>
          <t>Teclado</t>
        </is>
      </c>
      <c r="I73" t="inlineStr">
        <is>
          <t>Tecnologia</t>
        </is>
      </c>
      <c r="J73" t="inlineStr">
        <is>
          <t>Pacifico</t>
        </is>
      </c>
      <c r="K73" t="inlineStr">
        <is>
          <t>SUC-01</t>
        </is>
      </c>
      <c r="L73" t="inlineStr">
        <is>
          <t>Digital</t>
        </is>
      </c>
      <c r="M73" t="inlineStr">
        <is>
          <t>Aprobado</t>
        </is>
      </c>
      <c r="N73" t="inlineStr">
        <is>
          <t>Critica</t>
        </is>
      </c>
      <c r="O73" t="n">
        <v>29</v>
      </c>
      <c r="P73" s="14" t="n">
        <v>10364</v>
      </c>
      <c r="Q73" s="15" t="n">
        <v>0</v>
      </c>
      <c r="R73" s="14" t="n">
        <v>5700.2</v>
      </c>
      <c r="S73" s="12" t="n">
        <v>46056</v>
      </c>
      <c r="T73" s="12" t="n">
        <v>46062</v>
      </c>
      <c r="U73" t="inlineStr">
        <is>
          <t>Resp 1</t>
        </is>
      </c>
      <c r="V73" t="inlineStr">
        <is>
          <t>archivo_01.csv</t>
        </is>
      </c>
      <c r="W73" s="14" t="n">
        <v>300556</v>
      </c>
      <c r="X73" s="14" t="n">
        <v>0</v>
      </c>
      <c r="Y73" s="14" t="n">
        <v>300556</v>
      </c>
      <c r="Z73" s="14" t="n">
        <v>165305.8</v>
      </c>
      <c r="AA73" s="14" t="n">
        <v>135250.2</v>
      </c>
      <c r="AB73" s="15" t="n">
        <v>0.45</v>
      </c>
      <c r="AC73" t="n">
        <v>15</v>
      </c>
      <c r="AD73" t="inlineStr">
        <is>
          <t>PACIFICO|OP-000072|20260125|P-200</t>
        </is>
      </c>
      <c r="AE73" t="n">
        <v>1</v>
      </c>
    </row>
    <row r="74">
      <c r="A74" t="n">
        <v>73</v>
      </c>
      <c r="B74" t="inlineStr">
        <is>
          <t>OP-000073</t>
        </is>
      </c>
      <c r="C74" s="12" t="n">
        <v>46054</v>
      </c>
      <c r="D74" s="13" t="n">
        <v>0.3368055555555556</v>
      </c>
      <c r="E74" t="inlineStr">
        <is>
          <t>C-0004</t>
        </is>
      </c>
      <c r="F74" t="inlineStr">
        <is>
          <t>Cliente 4</t>
        </is>
      </c>
      <c r="G74" t="inlineStr">
        <is>
          <t>P-300</t>
        </is>
      </c>
      <c r="H74" t="inlineStr">
        <is>
          <t>Mouse</t>
        </is>
      </c>
      <c r="I74" t="inlineStr">
        <is>
          <t>Tecnologia</t>
        </is>
      </c>
      <c r="J74" t="inlineStr">
        <is>
          <t>Norte</t>
        </is>
      </c>
      <c r="K74" t="inlineStr">
        <is>
          <t>SUC-02</t>
        </is>
      </c>
      <c r="L74" t="inlineStr">
        <is>
          <t>Tienda</t>
        </is>
      </c>
      <c r="M74" t="inlineStr">
        <is>
          <t>Pendiente</t>
        </is>
      </c>
      <c r="N74" t="inlineStr">
        <is>
          <t>Alta</t>
        </is>
      </c>
      <c r="O74" t="n">
        <v>32</v>
      </c>
      <c r="P74" s="14" t="n">
        <v>10501</v>
      </c>
      <c r="Q74" s="15" t="n">
        <v>0.05</v>
      </c>
      <c r="R74" s="14" t="n">
        <v>5880.56</v>
      </c>
      <c r="S74" s="12" t="n">
        <v>46064</v>
      </c>
      <c r="T74" s="12" t="n">
        <v>46070</v>
      </c>
      <c r="U74" t="inlineStr">
        <is>
          <t>Resp 2</t>
        </is>
      </c>
      <c r="V74" t="inlineStr">
        <is>
          <t>archivo_02.csv</t>
        </is>
      </c>
      <c r="W74" s="14" t="n">
        <v>336032</v>
      </c>
      <c r="X74" s="14" t="n">
        <v>16801.6</v>
      </c>
      <c r="Y74" s="14" t="n">
        <v>319230.4</v>
      </c>
      <c r="Z74" s="14" t="n">
        <v>188177.92</v>
      </c>
      <c r="AA74" s="14" t="n">
        <v>131052.48</v>
      </c>
      <c r="AB74" s="15" t="n">
        <v>0.4105263157894737</v>
      </c>
      <c r="AC74" t="n">
        <v>16</v>
      </c>
      <c r="AD74" t="inlineStr">
        <is>
          <t>NORTE|OP-000073|20260201|P-300</t>
        </is>
      </c>
      <c r="AE74" t="n">
        <v>1</v>
      </c>
    </row>
    <row r="75">
      <c r="A75" t="n">
        <v>74</v>
      </c>
      <c r="B75" t="inlineStr">
        <is>
          <t>OP-000074</t>
        </is>
      </c>
      <c r="C75" s="12" t="n">
        <v>46061</v>
      </c>
      <c r="D75" s="13" t="n">
        <v>0.3819444444444444</v>
      </c>
      <c r="E75" t="inlineStr">
        <is>
          <t>C-0005</t>
        </is>
      </c>
      <c r="F75" t="inlineStr">
        <is>
          <t>Cliente 5</t>
        </is>
      </c>
      <c r="G75" t="inlineStr">
        <is>
          <t>P-400</t>
        </is>
      </c>
      <c r="H75" t="inlineStr">
        <is>
          <t>Laptop</t>
        </is>
      </c>
      <c r="I75" t="inlineStr">
        <is>
          <t>Tecnologia</t>
        </is>
      </c>
      <c r="J75" t="inlineStr">
        <is>
          <t>Centro</t>
        </is>
      </c>
      <c r="K75" t="inlineStr">
        <is>
          <t>SUC-03</t>
        </is>
      </c>
      <c r="L75" t="inlineStr">
        <is>
          <t>Distribuidor</t>
        </is>
      </c>
      <c r="M75" t="inlineStr">
        <is>
          <t>Cancelado</t>
        </is>
      </c>
      <c r="N75" t="inlineStr">
        <is>
          <t>Media</t>
        </is>
      </c>
      <c r="O75" t="n">
        <v>35</v>
      </c>
      <c r="P75" s="14" t="n">
        <v>10638</v>
      </c>
      <c r="Q75" s="15" t="n">
        <v>0.1</v>
      </c>
      <c r="R75" s="14" t="n">
        <v>6063.66</v>
      </c>
      <c r="S75" s="12" t="n">
        <v>46072</v>
      </c>
      <c r="T75" s="12" t="n">
        <v>46078</v>
      </c>
      <c r="U75" t="inlineStr">
        <is>
          <t>Resp 3</t>
        </is>
      </c>
      <c r="V75" t="inlineStr">
        <is>
          <t>archivo_03.csv</t>
        </is>
      </c>
      <c r="W75" s="14" t="n">
        <v>372330</v>
      </c>
      <c r="X75" s="14" t="n">
        <v>37233</v>
      </c>
      <c r="Y75" s="14" t="n">
        <v>335097</v>
      </c>
      <c r="Z75" s="14" t="n">
        <v>212228.1</v>
      </c>
      <c r="AA75" s="14" t="n">
        <v>122868.9</v>
      </c>
      <c r="AB75" s="15" t="n">
        <v>0.3666666666666666</v>
      </c>
      <c r="AC75" t="n">
        <v>17</v>
      </c>
      <c r="AD75" t="inlineStr">
        <is>
          <t>CENTRO|OP-000074|20260208|P-400</t>
        </is>
      </c>
      <c r="AE75" t="n">
        <v>1</v>
      </c>
    </row>
    <row r="76">
      <c r="A76" t="n">
        <v>75</v>
      </c>
      <c r="B76" t="inlineStr">
        <is>
          <t>OP-000075</t>
        </is>
      </c>
      <c r="C76" s="12" t="n">
        <v>46068</v>
      </c>
      <c r="D76" s="13" t="n">
        <v>0.4270833333333333</v>
      </c>
      <c r="E76" t="inlineStr">
        <is>
          <t>C-0006</t>
        </is>
      </c>
      <c r="F76" t="inlineStr">
        <is>
          <t>Cliente 6</t>
        </is>
      </c>
      <c r="G76" t="inlineStr">
        <is>
          <t>P-500</t>
        </is>
      </c>
      <c r="H76" t="inlineStr">
        <is>
          <t>Dock</t>
        </is>
      </c>
      <c r="I76" t="inlineStr">
        <is>
          <t>Tecnologia</t>
        </is>
      </c>
      <c r="J76" t="inlineStr">
        <is>
          <t>Sur</t>
        </is>
      </c>
      <c r="K76" t="inlineStr">
        <is>
          <t>SUC-04</t>
        </is>
      </c>
      <c r="L76" t="inlineStr">
        <is>
          <t>Digital</t>
        </is>
      </c>
      <c r="M76" t="inlineStr">
        <is>
          <t>En revision</t>
        </is>
      </c>
      <c r="N76" t="inlineStr">
        <is>
          <t>Baja</t>
        </is>
      </c>
      <c r="O76" t="n">
        <v>38</v>
      </c>
      <c r="P76" s="14" t="n">
        <v>10775</v>
      </c>
      <c r="Q76" s="15" t="n">
        <v>0.15</v>
      </c>
      <c r="R76" s="14" t="n">
        <v>6249.5</v>
      </c>
      <c r="S76" s="12" t="n">
        <v>46080</v>
      </c>
      <c r="T76" s="12" t="n">
        <v>46071</v>
      </c>
      <c r="U76" t="inlineStr">
        <is>
          <t>Resp 4</t>
        </is>
      </c>
      <c r="V76" t="inlineStr">
        <is>
          <t>archivo_04.csv</t>
        </is>
      </c>
      <c r="W76" s="14" t="n">
        <v>409450</v>
      </c>
      <c r="X76" s="14" t="n">
        <v>61417.5</v>
      </c>
      <c r="Y76" s="14" t="n">
        <v>348032.5</v>
      </c>
      <c r="Z76" s="14" t="n">
        <v>237481</v>
      </c>
      <c r="AA76" s="14" t="n">
        <v>110551.5</v>
      </c>
      <c r="AB76" s="15" t="n">
        <v>0.3176470588235294</v>
      </c>
      <c r="AC76" t="n">
        <v>3</v>
      </c>
      <c r="AD76" t="inlineStr">
        <is>
          <t>SUR|OP-000075|20260215|P-500</t>
        </is>
      </c>
      <c r="AE76" t="n">
        <v>1</v>
      </c>
    </row>
    <row r="77">
      <c r="A77" t="n">
        <v>76</v>
      </c>
      <c r="B77" t="inlineStr">
        <is>
          <t>OP-000076</t>
        </is>
      </c>
      <c r="C77" s="12" t="n">
        <v>46075</v>
      </c>
      <c r="D77" s="13" t="n">
        <v>0.4722222222222222</v>
      </c>
      <c r="E77" t="inlineStr">
        <is>
          <t>C-0007</t>
        </is>
      </c>
      <c r="F77" t="inlineStr">
        <is>
          <t>Cliente 7</t>
        </is>
      </c>
      <c r="G77" t="inlineStr">
        <is>
          <t>P-100</t>
        </is>
      </c>
      <c r="H77" t="inlineStr">
        <is>
          <t>Monitor 24</t>
        </is>
      </c>
      <c r="I77" t="inlineStr">
        <is>
          <t>Tecnologia</t>
        </is>
      </c>
      <c r="J77" t="inlineStr">
        <is>
          <t>Pacifico</t>
        </is>
      </c>
      <c r="K77" t="inlineStr">
        <is>
          <t>SUC-05</t>
        </is>
      </c>
      <c r="L77" t="inlineStr">
        <is>
          <t>Tienda</t>
        </is>
      </c>
      <c r="M77" t="inlineStr">
        <is>
          <t>Aprobado</t>
        </is>
      </c>
      <c r="N77" t="inlineStr">
        <is>
          <t>Critica</t>
        </is>
      </c>
      <c r="O77" t="n">
        <v>41</v>
      </c>
      <c r="P77" s="14" t="n">
        <v>10912</v>
      </c>
      <c r="Q77" s="15" t="n">
        <v>0</v>
      </c>
      <c r="R77" s="14" t="n">
        <v>6438.08</v>
      </c>
      <c r="S77" s="12" t="n">
        <v>46088</v>
      </c>
      <c r="T77" s="12" t="n">
        <v>46079</v>
      </c>
      <c r="U77" t="inlineStr">
        <is>
          <t>Resp 5</t>
        </is>
      </c>
      <c r="V77" t="inlineStr">
        <is>
          <t>archivo_05.csv</t>
        </is>
      </c>
      <c r="W77" s="14" t="n">
        <v>447392</v>
      </c>
      <c r="X77" s="14" t="n">
        <v>0</v>
      </c>
      <c r="Y77" s="14" t="n">
        <v>447392</v>
      </c>
      <c r="Z77" s="14" t="n">
        <v>263961.28</v>
      </c>
      <c r="AA77" s="14" t="n">
        <v>183430.72</v>
      </c>
      <c r="AB77" s="15" t="n">
        <v>0.4100000000000001</v>
      </c>
      <c r="AC77" t="n">
        <v>4</v>
      </c>
      <c r="AD77" t="inlineStr">
        <is>
          <t>PACIFICO|OP-000076|20260222|P-100</t>
        </is>
      </c>
      <c r="AE77" t="n">
        <v>1</v>
      </c>
    </row>
    <row r="78">
      <c r="A78" t="n">
        <v>77</v>
      </c>
      <c r="B78" t="inlineStr">
        <is>
          <t>OP-000077</t>
        </is>
      </c>
      <c r="C78" s="12" t="n">
        <v>46082</v>
      </c>
      <c r="D78" s="13" t="n">
        <v>0.5173611111111112</v>
      </c>
      <c r="E78" t="inlineStr">
        <is>
          <t>C-0008</t>
        </is>
      </c>
      <c r="F78" t="inlineStr">
        <is>
          <t>Cliente 8</t>
        </is>
      </c>
      <c r="G78" t="inlineStr">
        <is>
          <t>P-200</t>
        </is>
      </c>
      <c r="H78" t="inlineStr">
        <is>
          <t>Teclado</t>
        </is>
      </c>
      <c r="I78" t="inlineStr">
        <is>
          <t>Tecnologia</t>
        </is>
      </c>
      <c r="J78" t="inlineStr">
        <is>
          <t>Norte</t>
        </is>
      </c>
      <c r="K78" t="inlineStr">
        <is>
          <t>SUC-06</t>
        </is>
      </c>
      <c r="L78" t="inlineStr">
        <is>
          <t>Distribuidor</t>
        </is>
      </c>
      <c r="M78" t="inlineStr">
        <is>
          <t>Pendiente</t>
        </is>
      </c>
      <c r="N78" t="inlineStr">
        <is>
          <t>Alta</t>
        </is>
      </c>
      <c r="O78" t="n">
        <v>44</v>
      </c>
      <c r="P78" s="14" t="n">
        <v>11049</v>
      </c>
      <c r="Q78" s="15" t="n">
        <v>0.05</v>
      </c>
      <c r="R78" s="14" t="n">
        <v>6629.4</v>
      </c>
      <c r="S78" s="12" t="n">
        <v>46096</v>
      </c>
      <c r="T78" s="12" t="n">
        <v>46087</v>
      </c>
      <c r="U78" t="inlineStr">
        <is>
          <t>Resp 6</t>
        </is>
      </c>
      <c r="V78" t="inlineStr">
        <is>
          <t>archivo_06.csv</t>
        </is>
      </c>
      <c r="W78" s="14" t="n">
        <v>486156</v>
      </c>
      <c r="X78" s="14" t="n">
        <v>24307.8</v>
      </c>
      <c r="Y78" s="14" t="n">
        <v>461848.2</v>
      </c>
      <c r="Z78" s="14" t="n">
        <v>291693.6</v>
      </c>
      <c r="AA78" s="14" t="n">
        <v>170154.6</v>
      </c>
      <c r="AB78" s="15" t="n">
        <v>0.368421052631579</v>
      </c>
      <c r="AC78" t="n">
        <v>5</v>
      </c>
      <c r="AD78" t="inlineStr">
        <is>
          <t>NORTE|OP-000077|20260301|P-200</t>
        </is>
      </c>
      <c r="AE78" t="n">
        <v>1</v>
      </c>
    </row>
    <row r="79">
      <c r="A79" t="n">
        <v>78</v>
      </c>
      <c r="B79" t="inlineStr">
        <is>
          <t>OP-000078</t>
        </is>
      </c>
      <c r="C79" s="12" t="n">
        <v>46089</v>
      </c>
      <c r="D79" s="13" t="n">
        <v>0.5625</v>
      </c>
      <c r="E79" t="inlineStr">
        <is>
          <t>C-0009</t>
        </is>
      </c>
      <c r="F79" t="inlineStr">
        <is>
          <t>Cliente 9</t>
        </is>
      </c>
      <c r="G79" t="inlineStr">
        <is>
          <t>P-300</t>
        </is>
      </c>
      <c r="H79" t="inlineStr">
        <is>
          <t>Mouse</t>
        </is>
      </c>
      <c r="I79" t="inlineStr">
        <is>
          <t>Tecnologia</t>
        </is>
      </c>
      <c r="J79" t="inlineStr">
        <is>
          <t>Centro</t>
        </is>
      </c>
      <c r="K79" t="inlineStr">
        <is>
          <t>SUC-07</t>
        </is>
      </c>
      <c r="L79" t="inlineStr">
        <is>
          <t>Digital</t>
        </is>
      </c>
      <c r="M79" t="inlineStr">
        <is>
          <t>Cancelado</t>
        </is>
      </c>
      <c r="N79" t="inlineStr">
        <is>
          <t>Media</t>
        </is>
      </c>
      <c r="O79" t="n">
        <v>47</v>
      </c>
      <c r="P79" s="14" t="n">
        <v>11186</v>
      </c>
      <c r="Q79" s="15" t="n">
        <v>0.1</v>
      </c>
      <c r="R79" s="14" t="n">
        <v>6823.46</v>
      </c>
      <c r="S79" s="12" t="n">
        <v>46104</v>
      </c>
      <c r="T79" s="12" t="n">
        <v>46095</v>
      </c>
      <c r="U79" t="inlineStr">
        <is>
          <t>Resp 7</t>
        </is>
      </c>
      <c r="V79" t="inlineStr">
        <is>
          <t>archivo_01.csv</t>
        </is>
      </c>
      <c r="W79" s="14" t="n">
        <v>525742</v>
      </c>
      <c r="X79" s="14" t="n">
        <v>52574.2</v>
      </c>
      <c r="Y79" s="14" t="n">
        <v>473167.8</v>
      </c>
      <c r="Z79" s="14" t="n">
        <v>320702.62</v>
      </c>
      <c r="AA79" s="14" t="n">
        <v>152465.18</v>
      </c>
      <c r="AB79" s="15" t="n">
        <v>0.3222222222222222</v>
      </c>
      <c r="AC79" t="n">
        <v>6</v>
      </c>
      <c r="AD79" t="inlineStr">
        <is>
          <t>CENTRO|OP-000078|20260308|P-300</t>
        </is>
      </c>
      <c r="AE79" t="n">
        <v>1</v>
      </c>
    </row>
    <row r="80">
      <c r="A80" t="n">
        <v>79</v>
      </c>
      <c r="B80" t="inlineStr">
        <is>
          <t>OP-000079</t>
        </is>
      </c>
      <c r="C80" s="12" t="n">
        <v>46096</v>
      </c>
      <c r="D80" s="13" t="n">
        <v>0.6076388888888888</v>
      </c>
      <c r="E80" t="inlineStr">
        <is>
          <t>C-0010</t>
        </is>
      </c>
      <c r="F80" t="inlineStr">
        <is>
          <t>Cliente 10</t>
        </is>
      </c>
      <c r="G80" t="inlineStr">
        <is>
          <t>P-400</t>
        </is>
      </c>
      <c r="H80" t="inlineStr">
        <is>
          <t>Laptop</t>
        </is>
      </c>
      <c r="I80" t="inlineStr">
        <is>
          <t>Tecnologia</t>
        </is>
      </c>
      <c r="J80" t="inlineStr">
        <is>
          <t>Sur</t>
        </is>
      </c>
      <c r="K80" t="inlineStr">
        <is>
          <t>SUC-08</t>
        </is>
      </c>
      <c r="L80" t="inlineStr">
        <is>
          <t>Tienda</t>
        </is>
      </c>
      <c r="M80" t="inlineStr">
        <is>
          <t>En revision</t>
        </is>
      </c>
      <c r="N80" t="inlineStr">
        <is>
          <t>Baja</t>
        </is>
      </c>
      <c r="O80" t="n">
        <v>3</v>
      </c>
      <c r="P80" s="14" t="n">
        <v>11323</v>
      </c>
      <c r="Q80" s="15" t="n">
        <v>0.15</v>
      </c>
      <c r="R80" s="14" t="n">
        <v>7020.26</v>
      </c>
      <c r="S80" s="12" t="n">
        <v>46112</v>
      </c>
      <c r="T80" s="12" t="n">
        <v>46103</v>
      </c>
      <c r="U80" t="inlineStr">
        <is>
          <t>Resp 8</t>
        </is>
      </c>
      <c r="V80" t="inlineStr">
        <is>
          <t>archivo_02.csv</t>
        </is>
      </c>
      <c r="W80" s="14" t="n">
        <v>33969</v>
      </c>
      <c r="X80" s="14" t="n">
        <v>5095.349999999999</v>
      </c>
      <c r="Y80" s="14" t="n">
        <v>28873.65</v>
      </c>
      <c r="Z80" s="14" t="n">
        <v>21060.78</v>
      </c>
      <c r="AA80" s="14" t="n">
        <v>7812.870000000003</v>
      </c>
      <c r="AB80" s="15" t="n">
        <v>0.2705882352941177</v>
      </c>
      <c r="AC80" t="n">
        <v>7</v>
      </c>
      <c r="AD80" t="inlineStr">
        <is>
          <t>SUR|OP-000079|20260315|P-400</t>
        </is>
      </c>
      <c r="AE80" t="n">
        <v>1</v>
      </c>
    </row>
    <row r="81">
      <c r="A81" t="n">
        <v>80</v>
      </c>
      <c r="B81" t="inlineStr">
        <is>
          <t>OP-000080</t>
        </is>
      </c>
      <c r="C81" s="12" t="n">
        <v>46103</v>
      </c>
      <c r="D81" s="13" t="n">
        <v>0.6527777777777778</v>
      </c>
      <c r="E81" t="inlineStr">
        <is>
          <t>C-0011</t>
        </is>
      </c>
      <c r="F81" t="inlineStr">
        <is>
          <t>Cliente 11</t>
        </is>
      </c>
      <c r="G81" t="inlineStr">
        <is>
          <t>P-500</t>
        </is>
      </c>
      <c r="H81" t="inlineStr">
        <is>
          <t>Dock</t>
        </is>
      </c>
      <c r="I81" t="inlineStr">
        <is>
          <t>Tecnologia</t>
        </is>
      </c>
      <c r="J81" t="inlineStr">
        <is>
          <t>Pacifico</t>
        </is>
      </c>
      <c r="K81" t="inlineStr">
        <is>
          <t>SUC-01</t>
        </is>
      </c>
      <c r="L81" t="inlineStr">
        <is>
          <t>Distribuidor</t>
        </is>
      </c>
      <c r="M81" t="inlineStr">
        <is>
          <t>Aprobado</t>
        </is>
      </c>
      <c r="N81" t="inlineStr">
        <is>
          <t>Critica</t>
        </is>
      </c>
      <c r="O81" t="n">
        <v>6</v>
      </c>
      <c r="P81" s="14" t="n">
        <v>11460</v>
      </c>
      <c r="Q81" s="15" t="n">
        <v>0</v>
      </c>
      <c r="R81" s="14" t="n">
        <v>6303</v>
      </c>
      <c r="S81" s="12" t="n">
        <v>46110</v>
      </c>
      <c r="T81" s="12" t="n">
        <v>46111</v>
      </c>
      <c r="U81" t="inlineStr">
        <is>
          <t>Resp 9</t>
        </is>
      </c>
      <c r="V81" t="inlineStr">
        <is>
          <t>archivo_03.csv</t>
        </is>
      </c>
      <c r="W81" s="14" t="n">
        <v>68760</v>
      </c>
      <c r="X81" s="14" t="n">
        <v>0</v>
      </c>
      <c r="Y81" s="14" t="n">
        <v>68760</v>
      </c>
      <c r="Z81" s="14" t="n">
        <v>37818</v>
      </c>
      <c r="AA81" s="14" t="n">
        <v>30942</v>
      </c>
      <c r="AB81" s="15" t="n">
        <v>0.45</v>
      </c>
      <c r="AC81" t="n">
        <v>8</v>
      </c>
      <c r="AD81" t="inlineStr">
        <is>
          <t>PACIFICO|OP-000080|20260322|P-500</t>
        </is>
      </c>
      <c r="AE81" t="n">
        <v>1</v>
      </c>
    </row>
    <row r="82">
      <c r="A82" t="n">
        <v>81</v>
      </c>
      <c r="B82" t="inlineStr">
        <is>
          <t>OP-000081</t>
        </is>
      </c>
      <c r="C82" s="12" t="n">
        <v>46110</v>
      </c>
      <c r="D82" s="13" t="n">
        <v>0.6979166666666666</v>
      </c>
      <c r="E82" t="inlineStr">
        <is>
          <t>C-0012</t>
        </is>
      </c>
      <c r="F82" t="inlineStr">
        <is>
          <t>Cliente 12</t>
        </is>
      </c>
      <c r="G82" t="inlineStr">
        <is>
          <t>P-100</t>
        </is>
      </c>
      <c r="H82" t="inlineStr">
        <is>
          <t>Monitor 24</t>
        </is>
      </c>
      <c r="I82" t="inlineStr">
        <is>
          <t>Tecnologia</t>
        </is>
      </c>
      <c r="J82" t="inlineStr">
        <is>
          <t>Norte</t>
        </is>
      </c>
      <c r="K82" t="inlineStr">
        <is>
          <t>SUC-02</t>
        </is>
      </c>
      <c r="L82" t="inlineStr">
        <is>
          <t>Digital</t>
        </is>
      </c>
      <c r="M82" t="inlineStr">
        <is>
          <t>Pendiente</t>
        </is>
      </c>
      <c r="N82" t="inlineStr">
        <is>
          <t>Alta</t>
        </is>
      </c>
      <c r="O82" t="n">
        <v>9</v>
      </c>
      <c r="P82" s="14" t="n">
        <v>11597</v>
      </c>
      <c r="Q82" s="15" t="n">
        <v>0.05</v>
      </c>
      <c r="R82" s="14" t="n">
        <v>6494.32</v>
      </c>
      <c r="S82" s="12" t="n">
        <v>46118</v>
      </c>
      <c r="T82" s="12" t="n">
        <v>46119</v>
      </c>
      <c r="U82" t="inlineStr">
        <is>
          <t>Resp 10</t>
        </is>
      </c>
      <c r="V82" t="inlineStr">
        <is>
          <t>archivo_04.csv</t>
        </is>
      </c>
      <c r="W82" s="14" t="n">
        <v>104373</v>
      </c>
      <c r="X82" s="14" t="n">
        <v>5218.650000000001</v>
      </c>
      <c r="Y82" s="14" t="n">
        <v>99154.35000000001</v>
      </c>
      <c r="Z82" s="14" t="n">
        <v>58448.88</v>
      </c>
      <c r="AA82" s="14" t="n">
        <v>40705.47000000001</v>
      </c>
      <c r="AB82" s="15" t="n">
        <v>0.4105263157894737</v>
      </c>
      <c r="AC82" t="n">
        <v>9</v>
      </c>
      <c r="AD82" t="inlineStr">
        <is>
          <t>NORTE|OP-000081|20260329|P-100</t>
        </is>
      </c>
      <c r="AE82" t="n">
        <v>1</v>
      </c>
    </row>
    <row r="83">
      <c r="A83" t="n">
        <v>82</v>
      </c>
      <c r="B83" t="inlineStr">
        <is>
          <t>OP-000082</t>
        </is>
      </c>
      <c r="C83" s="12" t="n">
        <v>46117</v>
      </c>
      <c r="D83" s="13" t="n">
        <v>0.7430555555555556</v>
      </c>
      <c r="E83" t="inlineStr">
        <is>
          <t>C-0013</t>
        </is>
      </c>
      <c r="F83" t="inlineStr">
        <is>
          <t>Cliente 13</t>
        </is>
      </c>
      <c r="G83" t="inlineStr">
        <is>
          <t>P-200</t>
        </is>
      </c>
      <c r="H83" t="inlineStr">
        <is>
          <t>Teclado</t>
        </is>
      </c>
      <c r="I83" t="inlineStr">
        <is>
          <t>Tecnologia</t>
        </is>
      </c>
      <c r="J83" t="inlineStr">
        <is>
          <t>Centro</t>
        </is>
      </c>
      <c r="K83" t="inlineStr">
        <is>
          <t>SUC-03</t>
        </is>
      </c>
      <c r="L83" t="inlineStr">
        <is>
          <t>Tienda</t>
        </is>
      </c>
      <c r="M83" t="inlineStr">
        <is>
          <t>Cancelado</t>
        </is>
      </c>
      <c r="N83" t="inlineStr">
        <is>
          <t>Media</t>
        </is>
      </c>
      <c r="O83" t="n">
        <v>12</v>
      </c>
      <c r="P83" s="14" t="n">
        <v>11734</v>
      </c>
      <c r="Q83" s="15" t="n">
        <v>0.1</v>
      </c>
      <c r="R83" s="14" t="n">
        <v>6688.38</v>
      </c>
      <c r="S83" s="12" t="n">
        <v>46126</v>
      </c>
      <c r="T83" s="12" t="n">
        <v>46127</v>
      </c>
      <c r="U83" t="inlineStr">
        <is>
          <t>Resp 11</t>
        </is>
      </c>
      <c r="V83" t="inlineStr">
        <is>
          <t>archivo_05.csv</t>
        </is>
      </c>
      <c r="W83" s="14" t="n">
        <v>140808</v>
      </c>
      <c r="X83" s="14" t="n">
        <v>14080.8</v>
      </c>
      <c r="Y83" s="14" t="n">
        <v>126727.2</v>
      </c>
      <c r="Z83" s="14" t="n">
        <v>80260.56</v>
      </c>
      <c r="AA83" s="14" t="n">
        <v>46466.64</v>
      </c>
      <c r="AB83" s="15" t="n">
        <v>0.3666666666666667</v>
      </c>
      <c r="AC83" t="n">
        <v>10</v>
      </c>
      <c r="AD83" t="inlineStr">
        <is>
          <t>CENTRO|OP-000082|20260405|P-200</t>
        </is>
      </c>
      <c r="AE83" t="n">
        <v>1</v>
      </c>
    </row>
    <row r="84">
      <c r="A84" t="n">
        <v>83</v>
      </c>
      <c r="B84" t="inlineStr">
        <is>
          <t>OP-000083</t>
        </is>
      </c>
      <c r="C84" s="12" t="n">
        <v>46124</v>
      </c>
      <c r="D84" s="13" t="n">
        <v>0.7881944444444444</v>
      </c>
      <c r="E84" t="inlineStr">
        <is>
          <t>C-0014</t>
        </is>
      </c>
      <c r="F84" t="inlineStr">
        <is>
          <t>Cliente 14</t>
        </is>
      </c>
      <c r="G84" t="inlineStr">
        <is>
          <t>P-300</t>
        </is>
      </c>
      <c r="H84" t="inlineStr">
        <is>
          <t>Mouse</t>
        </is>
      </c>
      <c r="I84" t="inlineStr">
        <is>
          <t>Tecnologia</t>
        </is>
      </c>
      <c r="J84" t="inlineStr">
        <is>
          <t>Sur</t>
        </is>
      </c>
      <c r="K84" t="inlineStr">
        <is>
          <t>SUC-04</t>
        </is>
      </c>
      <c r="L84" t="inlineStr">
        <is>
          <t>Distribuidor</t>
        </is>
      </c>
      <c r="M84" t="inlineStr">
        <is>
          <t>En revision</t>
        </is>
      </c>
      <c r="N84" t="inlineStr">
        <is>
          <t>Baja</t>
        </is>
      </c>
      <c r="O84" t="n">
        <v>15</v>
      </c>
      <c r="P84" s="14" t="n">
        <v>11871</v>
      </c>
      <c r="Q84" s="15" t="n">
        <v>0.15</v>
      </c>
      <c r="R84" s="14" t="n">
        <v>6885.18</v>
      </c>
      <c r="S84" s="12" t="n">
        <v>46134</v>
      </c>
      <c r="T84" s="12" t="n">
        <v>46135</v>
      </c>
      <c r="U84" t="inlineStr">
        <is>
          <t>Resp 12</t>
        </is>
      </c>
      <c r="V84" t="inlineStr">
        <is>
          <t>archivo_06.csv</t>
        </is>
      </c>
      <c r="W84" s="14" t="n">
        <v>178065</v>
      </c>
      <c r="X84" s="14" t="n">
        <v>26709.75</v>
      </c>
      <c r="Y84" s="14" t="n">
        <v>151355.25</v>
      </c>
      <c r="Z84" s="14" t="n">
        <v>103277.7</v>
      </c>
      <c r="AA84" s="14" t="n">
        <v>48077.54999999999</v>
      </c>
      <c r="AB84" s="15" t="n">
        <v>0.3176470588235293</v>
      </c>
      <c r="AC84" t="n">
        <v>11</v>
      </c>
      <c r="AD84" t="inlineStr">
        <is>
          <t>SUR|OP-000083|20260412|P-300</t>
        </is>
      </c>
      <c r="AE84" t="n">
        <v>1</v>
      </c>
    </row>
    <row r="85">
      <c r="A85" t="n">
        <v>84</v>
      </c>
      <c r="B85" t="inlineStr">
        <is>
          <t>OP-000084</t>
        </is>
      </c>
      <c r="C85" s="12" t="n">
        <v>46131</v>
      </c>
      <c r="D85" s="13" t="n">
        <v>0.2916666666666667</v>
      </c>
      <c r="E85" t="inlineStr">
        <is>
          <t>C-0015</t>
        </is>
      </c>
      <c r="F85" t="inlineStr">
        <is>
          <t>Cliente 15</t>
        </is>
      </c>
      <c r="G85" t="inlineStr">
        <is>
          <t>P-400</t>
        </is>
      </c>
      <c r="H85" t="inlineStr">
        <is>
          <t>Laptop</t>
        </is>
      </c>
      <c r="I85" t="inlineStr">
        <is>
          <t>Tecnologia</t>
        </is>
      </c>
      <c r="J85" t="inlineStr">
        <is>
          <t>Pacifico</t>
        </is>
      </c>
      <c r="K85" t="inlineStr">
        <is>
          <t>SUC-05</t>
        </is>
      </c>
      <c r="L85" t="inlineStr">
        <is>
          <t>Digital</t>
        </is>
      </c>
      <c r="M85" t="inlineStr">
        <is>
          <t>Aprobado</t>
        </is>
      </c>
      <c r="N85" t="inlineStr">
        <is>
          <t>Critica</t>
        </is>
      </c>
      <c r="O85" t="n">
        <v>18</v>
      </c>
      <c r="P85" s="14" t="n">
        <v>12008</v>
      </c>
      <c r="Q85" s="15" t="n">
        <v>0</v>
      </c>
      <c r="R85" s="14" t="n">
        <v>7084.72</v>
      </c>
      <c r="S85" s="12" t="n">
        <v>46142</v>
      </c>
      <c r="T85" s="12" t="n">
        <v>46143</v>
      </c>
      <c r="U85" t="inlineStr">
        <is>
          <t>Resp 1</t>
        </is>
      </c>
      <c r="V85" t="inlineStr">
        <is>
          <t>archivo_01.csv</t>
        </is>
      </c>
      <c r="W85" s="14" t="n">
        <v>216144</v>
      </c>
      <c r="X85" s="14" t="n">
        <v>0</v>
      </c>
      <c r="Y85" s="14" t="n">
        <v>216144</v>
      </c>
      <c r="Z85" s="14" t="n">
        <v>127524.96</v>
      </c>
      <c r="AA85" s="14" t="n">
        <v>88619.03999999999</v>
      </c>
      <c r="AB85" s="15" t="n">
        <v>0.41</v>
      </c>
      <c r="AC85" t="n">
        <v>12</v>
      </c>
      <c r="AD85" t="inlineStr">
        <is>
          <t>PACIFICO|OP-000084|20260419|P-400</t>
        </is>
      </c>
      <c r="AE85" t="n">
        <v>1</v>
      </c>
    </row>
    <row r="86">
      <c r="A86" t="n">
        <v>85</v>
      </c>
      <c r="B86" t="inlineStr">
        <is>
          <t>OP-000085</t>
        </is>
      </c>
      <c r="C86" s="12" t="n">
        <v>46138</v>
      </c>
      <c r="D86" s="13" t="n">
        <v>0.3368055555555556</v>
      </c>
      <c r="E86" t="inlineStr">
        <is>
          <t>C-0016</t>
        </is>
      </c>
      <c r="F86" t="inlineStr">
        <is>
          <t>Cliente 16</t>
        </is>
      </c>
      <c r="G86" t="inlineStr">
        <is>
          <t>P-500</t>
        </is>
      </c>
      <c r="H86" t="inlineStr">
        <is>
          <t>Dock</t>
        </is>
      </c>
      <c r="I86" t="inlineStr">
        <is>
          <t>Tecnologia</t>
        </is>
      </c>
      <c r="J86" t="inlineStr">
        <is>
          <t>Norte</t>
        </is>
      </c>
      <c r="K86" t="inlineStr">
        <is>
          <t>SUC-06</t>
        </is>
      </c>
      <c r="L86" t="inlineStr">
        <is>
          <t>Tienda</t>
        </is>
      </c>
      <c r="M86" t="inlineStr">
        <is>
          <t>Pendiente</t>
        </is>
      </c>
      <c r="N86" t="inlineStr">
        <is>
          <t>Alta</t>
        </is>
      </c>
      <c r="O86" t="n">
        <v>21</v>
      </c>
      <c r="P86" s="14" t="n">
        <v>12145</v>
      </c>
      <c r="Q86" s="15" t="n">
        <v>0.05</v>
      </c>
      <c r="R86" s="14" t="n">
        <v>7287</v>
      </c>
      <c r="S86" s="12" t="n">
        <v>46150</v>
      </c>
      <c r="T86" s="12" t="n">
        <v>46151</v>
      </c>
      <c r="U86" t="inlineStr">
        <is>
          <t>Resp 2</t>
        </is>
      </c>
      <c r="V86" t="inlineStr">
        <is>
          <t>archivo_02.csv</t>
        </is>
      </c>
      <c r="W86" s="14" t="n">
        <v>255045</v>
      </c>
      <c r="X86" s="14" t="n">
        <v>12752.25</v>
      </c>
      <c r="Y86" s="14" t="n">
        <v>242292.75</v>
      </c>
      <c r="Z86" s="14" t="n">
        <v>153027</v>
      </c>
      <c r="AA86" s="14" t="n">
        <v>89265.75</v>
      </c>
      <c r="AB86" s="15" t="n">
        <v>0.3684210526315789</v>
      </c>
      <c r="AC86" t="n">
        <v>13</v>
      </c>
      <c r="AD86" t="inlineStr">
        <is>
          <t>NORTE|OP-000085|20260426|P-500</t>
        </is>
      </c>
      <c r="AE86" t="n">
        <v>1</v>
      </c>
    </row>
    <row r="87">
      <c r="A87" t="n">
        <v>86</v>
      </c>
      <c r="B87" t="inlineStr">
        <is>
          <t>OP-000086</t>
        </is>
      </c>
      <c r="C87" s="12" t="n">
        <v>46145</v>
      </c>
      <c r="D87" s="13" t="n">
        <v>0.3819444444444444</v>
      </c>
      <c r="E87" t="inlineStr">
        <is>
          <t>C-0017</t>
        </is>
      </c>
      <c r="F87" t="inlineStr">
        <is>
          <t>Cliente 17</t>
        </is>
      </c>
      <c r="G87" t="inlineStr">
        <is>
          <t>P-100</t>
        </is>
      </c>
      <c r="H87" t="inlineStr">
        <is>
          <t>Monitor 24</t>
        </is>
      </c>
      <c r="I87" t="inlineStr">
        <is>
          <t>Tecnologia</t>
        </is>
      </c>
      <c r="J87" t="inlineStr">
        <is>
          <t>Centro</t>
        </is>
      </c>
      <c r="K87" t="inlineStr">
        <is>
          <t>SUC-07</t>
        </is>
      </c>
      <c r="L87" t="inlineStr">
        <is>
          <t>Distribuidor</t>
        </is>
      </c>
      <c r="M87" t="inlineStr">
        <is>
          <t>Cancelado</t>
        </is>
      </c>
      <c r="N87" t="inlineStr">
        <is>
          <t>Media</t>
        </is>
      </c>
      <c r="O87" t="n">
        <v>24</v>
      </c>
      <c r="P87" s="14" t="n">
        <v>12282</v>
      </c>
      <c r="Q87" s="15" t="n">
        <v>0.1</v>
      </c>
      <c r="R87" s="14" t="n">
        <v>7492.02</v>
      </c>
      <c r="S87" s="12" t="n">
        <v>46158</v>
      </c>
      <c r="T87" s="12" t="n">
        <v>46159</v>
      </c>
      <c r="U87" t="inlineStr">
        <is>
          <t>Resp 3</t>
        </is>
      </c>
      <c r="V87" t="inlineStr">
        <is>
          <t>archivo_03.csv</t>
        </is>
      </c>
      <c r="W87" s="14" t="n">
        <v>294768</v>
      </c>
      <c r="X87" s="14" t="n">
        <v>29476.8</v>
      </c>
      <c r="Y87" s="14" t="n">
        <v>265291.2</v>
      </c>
      <c r="Z87" s="14" t="n">
        <v>179808.48</v>
      </c>
      <c r="AA87" s="14" t="n">
        <v>85482.72</v>
      </c>
      <c r="AB87" s="15" t="n">
        <v>0.3222222222222222</v>
      </c>
      <c r="AC87" t="n">
        <v>14</v>
      </c>
      <c r="AD87" t="inlineStr">
        <is>
          <t>CENTRO|OP-000086|20260503|P-100</t>
        </is>
      </c>
      <c r="AE87" t="n">
        <v>1</v>
      </c>
    </row>
    <row r="88">
      <c r="A88" t="n">
        <v>87</v>
      </c>
      <c r="B88" t="inlineStr">
        <is>
          <t>OP-000087</t>
        </is>
      </c>
      <c r="C88" s="12" t="n">
        <v>46152</v>
      </c>
      <c r="D88" s="13" t="n">
        <v>0.4270833333333333</v>
      </c>
      <c r="E88" t="inlineStr">
        <is>
          <t>C-0018</t>
        </is>
      </c>
      <c r="F88" t="inlineStr">
        <is>
          <t>Cliente 18</t>
        </is>
      </c>
      <c r="G88" t="inlineStr">
        <is>
          <t>P-200</t>
        </is>
      </c>
      <c r="H88" t="inlineStr">
        <is>
          <t>Teclado</t>
        </is>
      </c>
      <c r="I88" t="inlineStr">
        <is>
          <t>Tecnologia</t>
        </is>
      </c>
      <c r="J88" t="inlineStr">
        <is>
          <t>Sur</t>
        </is>
      </c>
      <c r="K88" t="inlineStr">
        <is>
          <t>SUC-08</t>
        </is>
      </c>
      <c r="L88" t="inlineStr">
        <is>
          <t>Digital</t>
        </is>
      </c>
      <c r="M88" t="inlineStr">
        <is>
          <t>En revision</t>
        </is>
      </c>
      <c r="N88" t="inlineStr">
        <is>
          <t>Baja</t>
        </is>
      </c>
      <c r="O88" t="n">
        <v>27</v>
      </c>
      <c r="P88" s="14" t="n">
        <v>12419</v>
      </c>
      <c r="Q88" s="15" t="n">
        <v>0.15</v>
      </c>
      <c r="R88" s="14" t="n">
        <v>7699.78</v>
      </c>
      <c r="S88" s="12" t="n">
        <v>46166</v>
      </c>
      <c r="T88" s="12" t="n">
        <v>46167</v>
      </c>
      <c r="U88" t="inlineStr">
        <is>
          <t>Resp 4</t>
        </is>
      </c>
      <c r="V88" t="inlineStr">
        <is>
          <t>archivo_04.csv</t>
        </is>
      </c>
      <c r="W88" s="14" t="n">
        <v>335313</v>
      </c>
      <c r="X88" s="14" t="n">
        <v>50296.95</v>
      </c>
      <c r="Y88" s="14" t="n">
        <v>285016.05</v>
      </c>
      <c r="Z88" s="14" t="n">
        <v>207894.06</v>
      </c>
      <c r="AA88" s="14" t="n">
        <v>77121.98999999999</v>
      </c>
      <c r="AB88" s="15" t="n">
        <v>0.2705882352941176</v>
      </c>
      <c r="AC88" t="n">
        <v>15</v>
      </c>
      <c r="AD88" t="inlineStr">
        <is>
          <t>SUR|OP-000087|20260510|P-200</t>
        </is>
      </c>
      <c r="AE88" t="n">
        <v>1</v>
      </c>
    </row>
    <row r="89">
      <c r="A89" t="n">
        <v>88</v>
      </c>
      <c r="B89" t="inlineStr">
        <is>
          <t>OP-000088</t>
        </is>
      </c>
      <c r="C89" s="12" t="n">
        <v>46159</v>
      </c>
      <c r="D89" s="13" t="n">
        <v>0.4722222222222222</v>
      </c>
      <c r="E89" t="inlineStr">
        <is>
          <t>C-0019</t>
        </is>
      </c>
      <c r="F89" t="inlineStr">
        <is>
          <t>Cliente 19</t>
        </is>
      </c>
      <c r="G89" t="inlineStr">
        <is>
          <t>P-300</t>
        </is>
      </c>
      <c r="H89" t="inlineStr">
        <is>
          <t>Mouse</t>
        </is>
      </c>
      <c r="I89" t="inlineStr">
        <is>
          <t>Tecnologia</t>
        </is>
      </c>
      <c r="J89" t="inlineStr">
        <is>
          <t>Pacifico</t>
        </is>
      </c>
      <c r="K89" t="inlineStr">
        <is>
          <t>SUC-01</t>
        </is>
      </c>
      <c r="L89" t="inlineStr">
        <is>
          <t>Tienda</t>
        </is>
      </c>
      <c r="M89" t="inlineStr">
        <is>
          <t>Aprobado</t>
        </is>
      </c>
      <c r="N89" t="inlineStr">
        <is>
          <t>Critica</t>
        </is>
      </c>
      <c r="O89" t="n">
        <v>30</v>
      </c>
      <c r="P89" s="14" t="n">
        <v>556</v>
      </c>
      <c r="Q89" s="15" t="n">
        <v>0</v>
      </c>
      <c r="R89" s="14" t="n">
        <v>305.8</v>
      </c>
      <c r="S89" s="12" t="n">
        <v>46174</v>
      </c>
      <c r="T89" s="12" t="n">
        <v>46175</v>
      </c>
      <c r="U89" t="inlineStr">
        <is>
          <t>Resp 5</t>
        </is>
      </c>
      <c r="V89" t="inlineStr">
        <is>
          <t>archivo_05.csv</t>
        </is>
      </c>
      <c r="W89" s="14" t="n">
        <v>16680</v>
      </c>
      <c r="X89" s="14" t="n">
        <v>0</v>
      </c>
      <c r="Y89" s="14" t="n">
        <v>16680</v>
      </c>
      <c r="Z89" s="14" t="n">
        <v>9174</v>
      </c>
      <c r="AA89" s="14" t="n">
        <v>7506</v>
      </c>
      <c r="AB89" s="15" t="n">
        <v>0.45</v>
      </c>
      <c r="AC89" t="n">
        <v>16</v>
      </c>
      <c r="AD89" t="inlineStr">
        <is>
          <t>PACIFICO|OP-000088|20260517|P-300</t>
        </is>
      </c>
      <c r="AE89" t="n">
        <v>1</v>
      </c>
    </row>
    <row r="90">
      <c r="A90" t="n">
        <v>89</v>
      </c>
      <c r="B90" t="inlineStr">
        <is>
          <t>OP-000089</t>
        </is>
      </c>
      <c r="C90" s="12" t="n">
        <v>46166</v>
      </c>
      <c r="D90" s="13" t="n">
        <v>0.5173611111111112</v>
      </c>
      <c r="E90" t="inlineStr">
        <is>
          <t>C-0020</t>
        </is>
      </c>
      <c r="F90" t="inlineStr">
        <is>
          <t>Cliente 20</t>
        </is>
      </c>
      <c r="G90" t="inlineStr">
        <is>
          <t>P-400</t>
        </is>
      </c>
      <c r="H90" t="inlineStr">
        <is>
          <t>Laptop</t>
        </is>
      </c>
      <c r="I90" t="inlineStr">
        <is>
          <t>Tecnologia</t>
        </is>
      </c>
      <c r="J90" t="inlineStr">
        <is>
          <t>Norte</t>
        </is>
      </c>
      <c r="K90" t="inlineStr">
        <is>
          <t>SUC-02</t>
        </is>
      </c>
      <c r="L90" t="inlineStr">
        <is>
          <t>Distribuidor</t>
        </is>
      </c>
      <c r="M90" t="inlineStr">
        <is>
          <t>Pendiente</t>
        </is>
      </c>
      <c r="N90" t="inlineStr">
        <is>
          <t>Alta</t>
        </is>
      </c>
      <c r="O90" t="n">
        <v>33</v>
      </c>
      <c r="P90" s="14" t="n">
        <v>693</v>
      </c>
      <c r="Q90" s="15" t="n">
        <v>0.05</v>
      </c>
      <c r="R90" s="14" t="n">
        <v>388.08</v>
      </c>
      <c r="S90" s="12" t="n">
        <v>46182</v>
      </c>
      <c r="T90" s="12" t="n">
        <v>46183</v>
      </c>
      <c r="U90" t="inlineStr">
        <is>
          <t>Resp 6</t>
        </is>
      </c>
      <c r="V90" t="inlineStr">
        <is>
          <t>archivo_06.csv</t>
        </is>
      </c>
      <c r="W90" s="14" t="n">
        <v>22869</v>
      </c>
      <c r="X90" s="14" t="n">
        <v>1143.45</v>
      </c>
      <c r="Y90" s="14" t="n">
        <v>21725.55</v>
      </c>
      <c r="Z90" s="14" t="n">
        <v>12806.64</v>
      </c>
      <c r="AA90" s="14" t="n">
        <v>8918.91</v>
      </c>
      <c r="AB90" s="15" t="n">
        <v>0.4105263157894737</v>
      </c>
      <c r="AC90" t="n">
        <v>17</v>
      </c>
      <c r="AD90" t="inlineStr">
        <is>
          <t>NORTE|OP-000089|20260524|P-400</t>
        </is>
      </c>
      <c r="AE90" t="n">
        <v>1</v>
      </c>
    </row>
    <row r="91">
      <c r="A91" t="n">
        <v>90</v>
      </c>
      <c r="B91" t="inlineStr">
        <is>
          <t>OP-000090</t>
        </is>
      </c>
      <c r="C91" s="12" t="n">
        <v>46173</v>
      </c>
      <c r="D91" s="13" t="n">
        <v>0.5625</v>
      </c>
      <c r="E91" t="inlineStr">
        <is>
          <t>C-0021</t>
        </is>
      </c>
      <c r="F91" t="inlineStr">
        <is>
          <t>Cliente 21</t>
        </is>
      </c>
      <c r="G91" t="inlineStr">
        <is>
          <t>P-500</t>
        </is>
      </c>
      <c r="H91" t="inlineStr">
        <is>
          <t>Dock</t>
        </is>
      </c>
      <c r="I91" t="inlineStr">
        <is>
          <t>Tecnologia</t>
        </is>
      </c>
      <c r="J91" t="inlineStr">
        <is>
          <t>Centro</t>
        </is>
      </c>
      <c r="K91" t="inlineStr">
        <is>
          <t>SUC-03</t>
        </is>
      </c>
      <c r="L91" t="inlineStr">
        <is>
          <t>Digital</t>
        </is>
      </c>
      <c r="M91" t="inlineStr">
        <is>
          <t>Cancelado</t>
        </is>
      </c>
      <c r="N91" t="inlineStr">
        <is>
          <t>Media</t>
        </is>
      </c>
      <c r="O91" t="n">
        <v>36</v>
      </c>
      <c r="P91" s="14" t="n">
        <v>830</v>
      </c>
      <c r="Q91" s="15" t="n">
        <v>0.1</v>
      </c>
      <c r="R91" s="14" t="n">
        <v>473.1</v>
      </c>
      <c r="S91" s="12" t="n">
        <v>46180</v>
      </c>
      <c r="T91" s="12" t="n">
        <v>46176</v>
      </c>
      <c r="U91" t="inlineStr">
        <is>
          <t>Resp 7</t>
        </is>
      </c>
      <c r="V91" t="inlineStr">
        <is>
          <t>archivo_01.csv</t>
        </is>
      </c>
      <c r="W91" s="14" t="n">
        <v>29880</v>
      </c>
      <c r="X91" s="14" t="n">
        <v>2988</v>
      </c>
      <c r="Y91" s="14" t="n">
        <v>26892</v>
      </c>
      <c r="Z91" s="14" t="n">
        <v>17031.6</v>
      </c>
      <c r="AA91" s="14" t="n">
        <v>9860.399999999998</v>
      </c>
      <c r="AB91" s="15" t="n">
        <v>0.3666666666666666</v>
      </c>
      <c r="AC91" t="n">
        <v>3</v>
      </c>
      <c r="AD91" t="inlineStr">
        <is>
          <t>CENTRO|OP-000090|20260531|P-500</t>
        </is>
      </c>
      <c r="AE91" t="n">
        <v>1</v>
      </c>
    </row>
    <row r="92">
      <c r="A92" t="n">
        <v>91</v>
      </c>
      <c r="B92" t="inlineStr">
        <is>
          <t>OP-000091</t>
        </is>
      </c>
      <c r="C92" s="12" t="n">
        <v>46180</v>
      </c>
      <c r="D92" s="13" t="n">
        <v>0.6076388888888888</v>
      </c>
      <c r="E92" t="inlineStr">
        <is>
          <t>C-0022</t>
        </is>
      </c>
      <c r="F92" t="inlineStr">
        <is>
          <t>Cliente 22</t>
        </is>
      </c>
      <c r="G92" t="inlineStr">
        <is>
          <t>P-100</t>
        </is>
      </c>
      <c r="H92" t="inlineStr">
        <is>
          <t>Monitor 24</t>
        </is>
      </c>
      <c r="I92" t="inlineStr">
        <is>
          <t>Tecnologia</t>
        </is>
      </c>
      <c r="J92" t="inlineStr">
        <is>
          <t>Sur</t>
        </is>
      </c>
      <c r="K92" t="inlineStr">
        <is>
          <t>SUC-04</t>
        </is>
      </c>
      <c r="L92" t="inlineStr">
        <is>
          <t>Tienda</t>
        </is>
      </c>
      <c r="M92" t="inlineStr">
        <is>
          <t>En revision</t>
        </is>
      </c>
      <c r="N92" t="inlineStr">
        <is>
          <t>Baja</t>
        </is>
      </c>
      <c r="O92" t="n">
        <v>39</v>
      </c>
      <c r="P92" s="14" t="n">
        <v>967</v>
      </c>
      <c r="Q92" s="15" t="n">
        <v>0.15</v>
      </c>
      <c r="R92" s="14" t="n">
        <v>560.86</v>
      </c>
      <c r="S92" s="12" t="n">
        <v>46188</v>
      </c>
      <c r="T92" s="12" t="n">
        <v>46184</v>
      </c>
      <c r="U92" t="inlineStr">
        <is>
          <t>Resp 8</t>
        </is>
      </c>
      <c r="V92" t="inlineStr">
        <is>
          <t>archivo_02.csv</t>
        </is>
      </c>
      <c r="W92" s="14" t="n">
        <v>37713</v>
      </c>
      <c r="X92" s="14" t="n">
        <v>5656.95</v>
      </c>
      <c r="Y92" s="14" t="n">
        <v>32056.05</v>
      </c>
      <c r="Z92" s="14" t="n">
        <v>21873.54</v>
      </c>
      <c r="AA92" s="14" t="n">
        <v>10182.51</v>
      </c>
      <c r="AB92" s="15" t="n">
        <v>0.3176470588235294</v>
      </c>
      <c r="AC92" t="n">
        <v>4</v>
      </c>
      <c r="AD92" t="inlineStr">
        <is>
          <t>SUR|OP-000091|20260607|P-100</t>
        </is>
      </c>
      <c r="AE92" t="n">
        <v>1</v>
      </c>
    </row>
    <row r="93">
      <c r="A93" t="n">
        <v>92</v>
      </c>
      <c r="B93" t="inlineStr">
        <is>
          <t>OP-000092</t>
        </is>
      </c>
      <c r="C93" s="12" t="n">
        <v>46187</v>
      </c>
      <c r="D93" s="13" t="n">
        <v>0.6527777777777778</v>
      </c>
      <c r="E93" t="inlineStr">
        <is>
          <t>C-0023</t>
        </is>
      </c>
      <c r="F93" t="inlineStr">
        <is>
          <t>Cliente 23</t>
        </is>
      </c>
      <c r="G93" t="inlineStr">
        <is>
          <t>P-200</t>
        </is>
      </c>
      <c r="H93" t="inlineStr">
        <is>
          <t>Teclado</t>
        </is>
      </c>
      <c r="I93" t="inlineStr">
        <is>
          <t>Tecnologia</t>
        </is>
      </c>
      <c r="J93" t="inlineStr">
        <is>
          <t>Pacifico</t>
        </is>
      </c>
      <c r="K93" t="inlineStr">
        <is>
          <t>SUC-05</t>
        </is>
      </c>
      <c r="L93" t="inlineStr">
        <is>
          <t>Distribuidor</t>
        </is>
      </c>
      <c r="M93" t="inlineStr">
        <is>
          <t>Aprobado</t>
        </is>
      </c>
      <c r="N93" t="inlineStr">
        <is>
          <t>Critica</t>
        </is>
      </c>
      <c r="O93" t="n">
        <v>42</v>
      </c>
      <c r="P93" s="14" t="n">
        <v>1104</v>
      </c>
      <c r="Q93" s="15" t="n">
        <v>0</v>
      </c>
      <c r="R93" s="14" t="n">
        <v>651.36</v>
      </c>
      <c r="S93" s="12" t="n">
        <v>46196</v>
      </c>
      <c r="T93" s="12" t="n">
        <v>46192</v>
      </c>
      <c r="U93" t="inlineStr">
        <is>
          <t>Resp 9</t>
        </is>
      </c>
      <c r="V93" t="inlineStr">
        <is>
          <t>archivo_03.csv</t>
        </is>
      </c>
      <c r="W93" s="14" t="n">
        <v>46368</v>
      </c>
      <c r="X93" s="14" t="n">
        <v>0</v>
      </c>
      <c r="Y93" s="14" t="n">
        <v>46368</v>
      </c>
      <c r="Z93" s="14" t="n">
        <v>27357.12</v>
      </c>
      <c r="AA93" s="14" t="n">
        <v>19010.88</v>
      </c>
      <c r="AB93" s="15" t="n">
        <v>0.41</v>
      </c>
      <c r="AC93" t="n">
        <v>5</v>
      </c>
      <c r="AD93" t="inlineStr">
        <is>
          <t>PACIFICO|OP-000092|20260614|P-200</t>
        </is>
      </c>
      <c r="AE93" t="n">
        <v>1</v>
      </c>
    </row>
    <row r="94">
      <c r="A94" t="n">
        <v>93</v>
      </c>
      <c r="B94" t="inlineStr">
        <is>
          <t>OP-000093</t>
        </is>
      </c>
      <c r="C94" s="12" t="n">
        <v>46194</v>
      </c>
      <c r="D94" s="13" t="n">
        <v>0.6979166666666666</v>
      </c>
      <c r="E94" t="inlineStr">
        <is>
          <t>C-0024</t>
        </is>
      </c>
      <c r="F94" t="inlineStr">
        <is>
          <t>Cliente 24</t>
        </is>
      </c>
      <c r="G94" t="inlineStr">
        <is>
          <t>P-300</t>
        </is>
      </c>
      <c r="H94" t="inlineStr">
        <is>
          <t>Mouse</t>
        </is>
      </c>
      <c r="I94" t="inlineStr">
        <is>
          <t>Tecnologia</t>
        </is>
      </c>
      <c r="J94" t="inlineStr">
        <is>
          <t>Norte</t>
        </is>
      </c>
      <c r="K94" t="inlineStr">
        <is>
          <t>SUC-06</t>
        </is>
      </c>
      <c r="L94" t="inlineStr">
        <is>
          <t>Digital</t>
        </is>
      </c>
      <c r="M94" t="inlineStr">
        <is>
          <t>Pendiente</t>
        </is>
      </c>
      <c r="N94" t="inlineStr">
        <is>
          <t>Alta</t>
        </is>
      </c>
      <c r="O94" t="n">
        <v>45</v>
      </c>
      <c r="P94" s="14" t="n">
        <v>1241</v>
      </c>
      <c r="Q94" s="15" t="n">
        <v>0.05</v>
      </c>
      <c r="R94" s="14" t="n">
        <v>744.6</v>
      </c>
      <c r="S94" s="12" t="n">
        <v>46204</v>
      </c>
      <c r="T94" s="12" t="n">
        <v>46200</v>
      </c>
      <c r="U94" t="inlineStr">
        <is>
          <t>Resp 10</t>
        </is>
      </c>
      <c r="V94" t="inlineStr">
        <is>
          <t>archivo_04.csv</t>
        </is>
      </c>
      <c r="W94" s="14" t="n">
        <v>55845</v>
      </c>
      <c r="X94" s="14" t="n">
        <v>2792.25</v>
      </c>
      <c r="Y94" s="14" t="n">
        <v>53052.75</v>
      </c>
      <c r="Z94" s="14" t="n">
        <v>33507</v>
      </c>
      <c r="AA94" s="14" t="n">
        <v>19545.75</v>
      </c>
      <c r="AB94" s="15" t="n">
        <v>0.3684210526315789</v>
      </c>
      <c r="AC94" t="n">
        <v>6</v>
      </c>
      <c r="AD94" t="inlineStr">
        <is>
          <t>NORTE|OP-000093|20260621|P-300</t>
        </is>
      </c>
      <c r="AE94" t="n">
        <v>1</v>
      </c>
    </row>
    <row r="95">
      <c r="A95" t="n">
        <v>94</v>
      </c>
      <c r="B95" t="inlineStr">
        <is>
          <t>OP-000094</t>
        </is>
      </c>
      <c r="C95" s="12" t="n">
        <v>46201</v>
      </c>
      <c r="D95" s="13" t="n">
        <v>0.7430555555555556</v>
      </c>
      <c r="E95" t="inlineStr">
        <is>
          <t>C-0025</t>
        </is>
      </c>
      <c r="F95" t="inlineStr">
        <is>
          <t>Cliente 25</t>
        </is>
      </c>
      <c r="G95" t="inlineStr">
        <is>
          <t>P-400</t>
        </is>
      </c>
      <c r="H95" t="inlineStr">
        <is>
          <t>Laptop</t>
        </is>
      </c>
      <c r="I95" t="inlineStr">
        <is>
          <t>Tecnologia</t>
        </is>
      </c>
      <c r="J95" t="inlineStr">
        <is>
          <t>Centro</t>
        </is>
      </c>
      <c r="K95" t="inlineStr">
        <is>
          <t>SUC-07</t>
        </is>
      </c>
      <c r="L95" t="inlineStr">
        <is>
          <t>Tienda</t>
        </is>
      </c>
      <c r="M95" t="inlineStr">
        <is>
          <t>Cancelado</t>
        </is>
      </c>
      <c r="N95" t="inlineStr">
        <is>
          <t>Media</t>
        </is>
      </c>
      <c r="O95" t="n">
        <v>1</v>
      </c>
      <c r="P95" s="14" t="n">
        <v>1378</v>
      </c>
      <c r="Q95" s="15" t="n">
        <v>0.1</v>
      </c>
      <c r="R95" s="14" t="n">
        <v>840.58</v>
      </c>
      <c r="S95" s="12" t="n">
        <v>46212</v>
      </c>
      <c r="T95" s="12" t="n">
        <v>46208</v>
      </c>
      <c r="U95" t="inlineStr">
        <is>
          <t>Resp 11</t>
        </is>
      </c>
      <c r="V95" t="inlineStr">
        <is>
          <t>archivo_05.csv</t>
        </is>
      </c>
      <c r="W95" s="14" t="n">
        <v>1378</v>
      </c>
      <c r="X95" s="14" t="n">
        <v>137.8</v>
      </c>
      <c r="Y95" s="14" t="n">
        <v>1240.2</v>
      </c>
      <c r="Z95" s="14" t="n">
        <v>840.58</v>
      </c>
      <c r="AA95" s="14" t="n">
        <v>399.62</v>
      </c>
      <c r="AB95" s="15" t="n">
        <v>0.3222222222222222</v>
      </c>
      <c r="AC95" t="n">
        <v>7</v>
      </c>
      <c r="AD95" t="inlineStr">
        <is>
          <t>CENTRO|OP-000094|20260628|P-400</t>
        </is>
      </c>
      <c r="AE95" t="n">
        <v>1</v>
      </c>
    </row>
    <row r="96">
      <c r="A96" t="n">
        <v>95</v>
      </c>
      <c r="B96" t="inlineStr">
        <is>
          <t>OP-000095</t>
        </is>
      </c>
      <c r="C96" s="12" t="n">
        <v>46208</v>
      </c>
      <c r="D96" s="13" t="n">
        <v>0.7881944444444444</v>
      </c>
      <c r="E96" t="inlineStr">
        <is>
          <t>C-0026</t>
        </is>
      </c>
      <c r="F96" t="inlineStr">
        <is>
          <t>Cliente 26</t>
        </is>
      </c>
      <c r="G96" t="inlineStr">
        <is>
          <t>P-500</t>
        </is>
      </c>
      <c r="H96" t="inlineStr">
        <is>
          <t>Dock</t>
        </is>
      </c>
      <c r="I96" t="inlineStr">
        <is>
          <t>Tecnologia</t>
        </is>
      </c>
      <c r="J96" t="inlineStr">
        <is>
          <t>Sur</t>
        </is>
      </c>
      <c r="K96" t="inlineStr">
        <is>
          <t>SUC-08</t>
        </is>
      </c>
      <c r="L96" t="inlineStr">
        <is>
          <t>Distribuidor</t>
        </is>
      </c>
      <c r="M96" t="inlineStr">
        <is>
          <t>En revision</t>
        </is>
      </c>
      <c r="N96" t="inlineStr">
        <is>
          <t>Baja</t>
        </is>
      </c>
      <c r="O96" t="n">
        <v>4</v>
      </c>
      <c r="P96" s="14" t="n">
        <v>1515</v>
      </c>
      <c r="Q96" s="15" t="n">
        <v>0.15</v>
      </c>
      <c r="R96" s="14" t="n">
        <v>939.3</v>
      </c>
      <c r="S96" s="12" t="n">
        <v>46220</v>
      </c>
      <c r="T96" s="12" t="n">
        <v>46216</v>
      </c>
      <c r="U96" t="inlineStr">
        <is>
          <t>Resp 12</t>
        </is>
      </c>
      <c r="V96" t="inlineStr">
        <is>
          <t>archivo_06.csv</t>
        </is>
      </c>
      <c r="W96" s="14" t="n">
        <v>6060</v>
      </c>
      <c r="X96" s="14" t="n">
        <v>909</v>
      </c>
      <c r="Y96" s="14" t="n">
        <v>5151</v>
      </c>
      <c r="Z96" s="14" t="n">
        <v>3757.2</v>
      </c>
      <c r="AA96" s="14" t="n">
        <v>1393.8</v>
      </c>
      <c r="AB96" s="15" t="n">
        <v>0.2705882352941177</v>
      </c>
      <c r="AC96" t="n">
        <v>8</v>
      </c>
      <c r="AD96" t="inlineStr">
        <is>
          <t>SUR|OP-000095|20260705|P-500</t>
        </is>
      </c>
      <c r="AE96" t="n">
        <v>1</v>
      </c>
    </row>
    <row r="97">
      <c r="A97" t="n">
        <v>96</v>
      </c>
      <c r="B97" t="inlineStr">
        <is>
          <t>OP-000096</t>
        </is>
      </c>
      <c r="C97" s="12" t="n">
        <v>46215</v>
      </c>
      <c r="D97" s="13" t="n">
        <v>0.2916666666666667</v>
      </c>
      <c r="E97" t="inlineStr">
        <is>
          <t>C-0027</t>
        </is>
      </c>
      <c r="F97" t="inlineStr">
        <is>
          <t>Cliente 27</t>
        </is>
      </c>
      <c r="G97" t="inlineStr">
        <is>
          <t>P-100</t>
        </is>
      </c>
      <c r="H97" t="inlineStr">
        <is>
          <t>Monitor 24</t>
        </is>
      </c>
      <c r="I97" t="inlineStr">
        <is>
          <t>Tecnologia</t>
        </is>
      </c>
      <c r="J97" t="inlineStr">
        <is>
          <t>Pacifico</t>
        </is>
      </c>
      <c r="K97" t="inlineStr">
        <is>
          <t>SUC-01</t>
        </is>
      </c>
      <c r="L97" t="inlineStr">
        <is>
          <t>Digital</t>
        </is>
      </c>
      <c r="M97" t="inlineStr">
        <is>
          <t>Aprobado</t>
        </is>
      </c>
      <c r="N97" t="inlineStr">
        <is>
          <t>Critica</t>
        </is>
      </c>
      <c r="O97" t="n">
        <v>7</v>
      </c>
      <c r="P97" s="14" t="n">
        <v>1652</v>
      </c>
      <c r="Q97" s="15" t="n">
        <v>0</v>
      </c>
      <c r="R97" s="14" t="n">
        <v>908.6</v>
      </c>
      <c r="S97" s="12" t="n">
        <v>46228</v>
      </c>
      <c r="T97" s="12" t="n">
        <v>46224</v>
      </c>
      <c r="U97" t="inlineStr">
        <is>
          <t>Resp 1</t>
        </is>
      </c>
      <c r="V97" t="inlineStr">
        <is>
          <t>archivo_01.csv</t>
        </is>
      </c>
      <c r="W97" s="14" t="n">
        <v>11564</v>
      </c>
      <c r="X97" s="14" t="n">
        <v>0</v>
      </c>
      <c r="Y97" s="14" t="n">
        <v>11564</v>
      </c>
      <c r="Z97" s="14" t="n">
        <v>6360.2</v>
      </c>
      <c r="AA97" s="14" t="n">
        <v>5203.8</v>
      </c>
      <c r="AB97" s="15" t="n">
        <v>0.45</v>
      </c>
      <c r="AC97" t="n">
        <v>9</v>
      </c>
      <c r="AD97" t="inlineStr">
        <is>
          <t>PACIFICO|OP-000096|20260712|P-100</t>
        </is>
      </c>
      <c r="AE97" t="n">
        <v>1</v>
      </c>
    </row>
    <row r="98">
      <c r="A98" t="n">
        <v>97</v>
      </c>
      <c r="B98" t="inlineStr">
        <is>
          <t>OP-000097</t>
        </is>
      </c>
      <c r="C98" s="12" t="n">
        <v>46222</v>
      </c>
      <c r="D98" s="13" t="n">
        <v>0.3368055555555556</v>
      </c>
      <c r="E98" t="inlineStr">
        <is>
          <t>C-0028</t>
        </is>
      </c>
      <c r="F98" t="inlineStr">
        <is>
          <t>Cliente 28</t>
        </is>
      </c>
      <c r="G98" t="inlineStr">
        <is>
          <t>P-200</t>
        </is>
      </c>
      <c r="H98" t="inlineStr">
        <is>
          <t>Teclado</t>
        </is>
      </c>
      <c r="I98" t="inlineStr">
        <is>
          <t>Tecnologia</t>
        </is>
      </c>
      <c r="J98" t="inlineStr">
        <is>
          <t>Norte</t>
        </is>
      </c>
      <c r="K98" t="inlineStr">
        <is>
          <t>SUC-02</t>
        </is>
      </c>
      <c r="L98" t="inlineStr">
        <is>
          <t>Tienda</t>
        </is>
      </c>
      <c r="M98" t="inlineStr">
        <is>
          <t>Pendiente</t>
        </is>
      </c>
      <c r="N98" t="inlineStr">
        <is>
          <t>Alta</t>
        </is>
      </c>
      <c r="O98" t="n">
        <v>10</v>
      </c>
      <c r="P98" s="14" t="n">
        <v>1789</v>
      </c>
      <c r="Q98" s="15" t="n">
        <v>0.05</v>
      </c>
      <c r="R98" s="14" t="n">
        <v>1001.84</v>
      </c>
      <c r="S98" s="12" t="n">
        <v>46236</v>
      </c>
      <c r="T98" s="12" t="n">
        <v>46232</v>
      </c>
      <c r="U98" t="inlineStr">
        <is>
          <t>Resp 2</t>
        </is>
      </c>
      <c r="V98" t="inlineStr">
        <is>
          <t>archivo_02.csv</t>
        </is>
      </c>
      <c r="W98" s="14" t="n">
        <v>17890</v>
      </c>
      <c r="X98" s="14" t="n">
        <v>894.5</v>
      </c>
      <c r="Y98" s="14" t="n">
        <v>16995.5</v>
      </c>
      <c r="Z98" s="14" t="n">
        <v>10018.4</v>
      </c>
      <c r="AA98" s="14" t="n">
        <v>6977.1</v>
      </c>
      <c r="AB98" s="15" t="n">
        <v>0.4105263157894737</v>
      </c>
      <c r="AC98" t="n">
        <v>10</v>
      </c>
      <c r="AD98" t="inlineStr">
        <is>
          <t>NORTE|OP-000097|20260719|P-200</t>
        </is>
      </c>
      <c r="AE98" t="n">
        <v>1</v>
      </c>
    </row>
    <row r="99">
      <c r="A99" t="n">
        <v>98</v>
      </c>
      <c r="B99" t="inlineStr">
        <is>
          <t>OP-000098</t>
        </is>
      </c>
      <c r="C99" s="12" t="n">
        <v>46229</v>
      </c>
      <c r="D99" s="13" t="n">
        <v>0.3819444444444444</v>
      </c>
      <c r="E99" t="inlineStr">
        <is>
          <t>C-0029</t>
        </is>
      </c>
      <c r="F99" t="inlineStr">
        <is>
          <t>Cliente 29</t>
        </is>
      </c>
      <c r="G99" t="inlineStr">
        <is>
          <t>P-300</t>
        </is>
      </c>
      <c r="H99" t="inlineStr">
        <is>
          <t>Mouse</t>
        </is>
      </c>
      <c r="I99" t="inlineStr">
        <is>
          <t>Tecnologia</t>
        </is>
      </c>
      <c r="J99" t="inlineStr">
        <is>
          <t>Centro</t>
        </is>
      </c>
      <c r="K99" t="inlineStr">
        <is>
          <t>SUC-03</t>
        </is>
      </c>
      <c r="L99" t="inlineStr">
        <is>
          <t>Distribuidor</t>
        </is>
      </c>
      <c r="M99" t="inlineStr">
        <is>
          <t>Cancelado</t>
        </is>
      </c>
      <c r="N99" t="inlineStr">
        <is>
          <t>Media</t>
        </is>
      </c>
      <c r="O99" t="n">
        <v>13</v>
      </c>
      <c r="P99" s="14" t="n">
        <v>1926</v>
      </c>
      <c r="Q99" s="15" t="n">
        <v>0.1</v>
      </c>
      <c r="R99" s="14" t="n">
        <v>1097.82</v>
      </c>
      <c r="S99" s="12" t="n">
        <v>46244</v>
      </c>
      <c r="T99" s="12" t="n">
        <v>46240</v>
      </c>
      <c r="U99" t="inlineStr">
        <is>
          <t>Resp 3</t>
        </is>
      </c>
      <c r="V99" t="inlineStr">
        <is>
          <t>archivo_03.csv</t>
        </is>
      </c>
      <c r="W99" s="14" t="n">
        <v>25038</v>
      </c>
      <c r="X99" s="14" t="n">
        <v>2503.8</v>
      </c>
      <c r="Y99" s="14" t="n">
        <v>22534.2</v>
      </c>
      <c r="Z99" s="14" t="n">
        <v>14271.66</v>
      </c>
      <c r="AA99" s="14" t="n">
        <v>8262.540000000001</v>
      </c>
      <c r="AB99" s="15" t="n">
        <v>0.3666666666666667</v>
      </c>
      <c r="AC99" t="n">
        <v>11</v>
      </c>
      <c r="AD99" t="inlineStr">
        <is>
          <t>CENTRO|OP-000098|20260726|P-300</t>
        </is>
      </c>
      <c r="AE99" t="n">
        <v>1</v>
      </c>
    </row>
    <row r="100">
      <c r="A100" t="n">
        <v>99</v>
      </c>
      <c r="B100" t="inlineStr">
        <is>
          <t>OP-000099</t>
        </is>
      </c>
      <c r="C100" s="12" t="n">
        <v>46236</v>
      </c>
      <c r="D100" s="13" t="n">
        <v>0.4270833333333333</v>
      </c>
      <c r="E100" t="inlineStr">
        <is>
          <t>C-0030</t>
        </is>
      </c>
      <c r="F100" t="inlineStr">
        <is>
          <t>Cliente 30</t>
        </is>
      </c>
      <c r="G100" t="inlineStr">
        <is>
          <t>P-400</t>
        </is>
      </c>
      <c r="H100" t="inlineStr">
        <is>
          <t>Laptop</t>
        </is>
      </c>
      <c r="I100" t="inlineStr">
        <is>
          <t>Tecnologia</t>
        </is>
      </c>
      <c r="J100" t="inlineStr">
        <is>
          <t>Sur</t>
        </is>
      </c>
      <c r="K100" t="inlineStr">
        <is>
          <t>SUC-04</t>
        </is>
      </c>
      <c r="L100" t="inlineStr">
        <is>
          <t>Digital</t>
        </is>
      </c>
      <c r="M100" t="inlineStr">
        <is>
          <t>En revision</t>
        </is>
      </c>
      <c r="N100" t="inlineStr">
        <is>
          <t>Baja</t>
        </is>
      </c>
      <c r="O100" t="n">
        <v>16</v>
      </c>
      <c r="P100" s="14" t="n">
        <v>2063</v>
      </c>
      <c r="Q100" s="15" t="n">
        <v>0.15</v>
      </c>
      <c r="R100" s="14" t="n">
        <v>1196.54</v>
      </c>
      <c r="S100" s="12" t="n">
        <v>46252</v>
      </c>
      <c r="T100" s="12" t="n">
        <v>46248</v>
      </c>
      <c r="U100" t="inlineStr">
        <is>
          <t>Resp 4</t>
        </is>
      </c>
      <c r="V100" t="inlineStr">
        <is>
          <t>archivo_04.csv</t>
        </is>
      </c>
      <c r="W100" s="14" t="n">
        <v>33008</v>
      </c>
      <c r="X100" s="14" t="n">
        <v>4951.2</v>
      </c>
      <c r="Y100" s="14" t="n">
        <v>28056.8</v>
      </c>
      <c r="Z100" s="14" t="n">
        <v>19144.64</v>
      </c>
      <c r="AA100" s="14" t="n">
        <v>8912.16</v>
      </c>
      <c r="AB100" s="15" t="n">
        <v>0.3176470588235294</v>
      </c>
      <c r="AC100" t="n">
        <v>12</v>
      </c>
      <c r="AD100" t="inlineStr">
        <is>
          <t>SUR|OP-000099|20260802|P-400</t>
        </is>
      </c>
      <c r="AE100" t="n">
        <v>1</v>
      </c>
    </row>
    <row r="101">
      <c r="A101" t="n">
        <v>100</v>
      </c>
      <c r="B101" t="inlineStr">
        <is>
          <t>OP-000100</t>
        </is>
      </c>
      <c r="C101" s="12" t="n">
        <v>46243</v>
      </c>
      <c r="D101" s="13" t="n">
        <v>0.4722222222222222</v>
      </c>
      <c r="E101" t="inlineStr">
        <is>
          <t>C-0031</t>
        </is>
      </c>
      <c r="F101" t="inlineStr">
        <is>
          <t>Cliente 31</t>
        </is>
      </c>
      <c r="G101" t="inlineStr">
        <is>
          <t>P-500</t>
        </is>
      </c>
      <c r="H101" t="inlineStr">
        <is>
          <t>Dock</t>
        </is>
      </c>
      <c r="I101" t="inlineStr">
        <is>
          <t>Tecnologia</t>
        </is>
      </c>
      <c r="J101" t="inlineStr">
        <is>
          <t>Pacifico</t>
        </is>
      </c>
      <c r="K101" t="inlineStr">
        <is>
          <t>SUC-05</t>
        </is>
      </c>
      <c r="L101" t="inlineStr">
        <is>
          <t>Tienda</t>
        </is>
      </c>
      <c r="M101" t="inlineStr">
        <is>
          <t>Aprobado</t>
        </is>
      </c>
      <c r="N101" t="inlineStr">
        <is>
          <t>Critica</t>
        </is>
      </c>
      <c r="O101" t="n">
        <v>19</v>
      </c>
      <c r="P101" s="14" t="n">
        <v>2200</v>
      </c>
      <c r="Q101" s="15" t="n">
        <v>0</v>
      </c>
      <c r="R101" s="14" t="n">
        <v>1298</v>
      </c>
      <c r="S101" s="12" t="n">
        <v>46250</v>
      </c>
      <c r="T101" s="12" t="n">
        <v>46256</v>
      </c>
      <c r="U101" t="inlineStr">
        <is>
          <t>Resp 5</t>
        </is>
      </c>
      <c r="V101" t="inlineStr">
        <is>
          <t>archivo_05.csv</t>
        </is>
      </c>
      <c r="W101" s="14" t="n">
        <v>41800</v>
      </c>
      <c r="X101" s="14" t="n">
        <v>0</v>
      </c>
      <c r="Y101" s="14" t="n">
        <v>41800</v>
      </c>
      <c r="Z101" s="14" t="n">
        <v>24662</v>
      </c>
      <c r="AA101" s="14" t="n">
        <v>17138</v>
      </c>
      <c r="AB101" s="15" t="n">
        <v>0.41</v>
      </c>
      <c r="AC101" t="n">
        <v>13</v>
      </c>
      <c r="AD101" t="inlineStr">
        <is>
          <t>PACIFICO|OP-000100|20260809|P-500</t>
        </is>
      </c>
      <c r="AE101" t="n">
        <v>1</v>
      </c>
    </row>
    <row r="102">
      <c r="A102" t="n">
        <v>101</v>
      </c>
      <c r="B102" t="inlineStr">
        <is>
          <t>OP-000101</t>
        </is>
      </c>
      <c r="C102" s="12" t="n">
        <v>46250</v>
      </c>
      <c r="D102" s="13" t="n">
        <v>0.5173611111111112</v>
      </c>
      <c r="E102" t="inlineStr">
        <is>
          <t>C-0032</t>
        </is>
      </c>
      <c r="F102" t="inlineStr">
        <is>
          <t>Cliente 32</t>
        </is>
      </c>
      <c r="G102" t="inlineStr">
        <is>
          <t>P-100</t>
        </is>
      </c>
      <c r="H102" t="inlineStr">
        <is>
          <t>Monitor 24</t>
        </is>
      </c>
      <c r="I102" t="inlineStr">
        <is>
          <t>Tecnologia</t>
        </is>
      </c>
      <c r="J102" t="inlineStr">
        <is>
          <t>Norte</t>
        </is>
      </c>
      <c r="K102" t="inlineStr">
        <is>
          <t>SUC-06</t>
        </is>
      </c>
      <c r="L102" t="inlineStr">
        <is>
          <t>Distribuidor</t>
        </is>
      </c>
      <c r="M102" t="inlineStr">
        <is>
          <t>Pendiente</t>
        </is>
      </c>
      <c r="N102" t="inlineStr">
        <is>
          <t>Alta</t>
        </is>
      </c>
      <c r="O102" t="n">
        <v>22</v>
      </c>
      <c r="P102" s="14" t="n">
        <v>2337</v>
      </c>
      <c r="Q102" s="15" t="n">
        <v>0.05</v>
      </c>
      <c r="R102" s="14" t="n">
        <v>1402.2</v>
      </c>
      <c r="S102" s="12" t="n">
        <v>46258</v>
      </c>
      <c r="T102" s="12" t="n">
        <v>46264</v>
      </c>
      <c r="U102" t="inlineStr">
        <is>
          <t>Resp 6</t>
        </is>
      </c>
      <c r="V102" t="inlineStr">
        <is>
          <t>archivo_06.csv</t>
        </is>
      </c>
      <c r="W102" s="14" t="n">
        <v>51414</v>
      </c>
      <c r="X102" s="14" t="n">
        <v>2570.7</v>
      </c>
      <c r="Y102" s="14" t="n">
        <v>48843.3</v>
      </c>
      <c r="Z102" s="14" t="n">
        <v>30848.4</v>
      </c>
      <c r="AA102" s="14" t="n">
        <v>17994.9</v>
      </c>
      <c r="AB102" s="15" t="n">
        <v>0.368421052631579</v>
      </c>
      <c r="AC102" t="n">
        <v>14</v>
      </c>
      <c r="AD102" t="inlineStr">
        <is>
          <t>NORTE|OP-000101|20260816|P-100</t>
        </is>
      </c>
      <c r="AE102" t="n">
        <v>1</v>
      </c>
    </row>
    <row r="103">
      <c r="A103" t="n">
        <v>102</v>
      </c>
      <c r="B103" t="inlineStr">
        <is>
          <t>OP-000102</t>
        </is>
      </c>
      <c r="C103" s="12" t="n">
        <v>46257</v>
      </c>
      <c r="D103" s="13" t="n">
        <v>0.5625</v>
      </c>
      <c r="E103" t="inlineStr">
        <is>
          <t>C-0033</t>
        </is>
      </c>
      <c r="F103" t="inlineStr">
        <is>
          <t>Cliente 33</t>
        </is>
      </c>
      <c r="G103" t="inlineStr">
        <is>
          <t>P-200</t>
        </is>
      </c>
      <c r="H103" t="inlineStr">
        <is>
          <t>Teclado</t>
        </is>
      </c>
      <c r="I103" t="inlineStr">
        <is>
          <t>Tecnologia</t>
        </is>
      </c>
      <c r="J103" t="inlineStr">
        <is>
          <t>Centro</t>
        </is>
      </c>
      <c r="K103" t="inlineStr">
        <is>
          <t>SUC-07</t>
        </is>
      </c>
      <c r="L103" t="inlineStr">
        <is>
          <t>Digital</t>
        </is>
      </c>
      <c r="M103" t="inlineStr">
        <is>
          <t>Cancelado</t>
        </is>
      </c>
      <c r="N103" t="inlineStr">
        <is>
          <t>Media</t>
        </is>
      </c>
      <c r="O103" t="n">
        <v>25</v>
      </c>
      <c r="P103" s="14" t="n">
        <v>2474</v>
      </c>
      <c r="Q103" s="15" t="n">
        <v>0.1</v>
      </c>
      <c r="R103" s="14" t="n">
        <v>1509.14</v>
      </c>
      <c r="S103" s="12" t="n">
        <v>46266</v>
      </c>
      <c r="T103" s="12" t="n">
        <v>46272</v>
      </c>
      <c r="U103" t="inlineStr">
        <is>
          <t>Resp 7</t>
        </is>
      </c>
      <c r="V103" t="inlineStr">
        <is>
          <t>archivo_01.csv</t>
        </is>
      </c>
      <c r="W103" s="14" t="n">
        <v>61850</v>
      </c>
      <c r="X103" s="14" t="n">
        <v>6185</v>
      </c>
      <c r="Y103" s="14" t="n">
        <v>55665</v>
      </c>
      <c r="Z103" s="14" t="n">
        <v>37728.5</v>
      </c>
      <c r="AA103" s="14" t="n">
        <v>17936.5</v>
      </c>
      <c r="AB103" s="15" t="n">
        <v>0.3222222222222222</v>
      </c>
      <c r="AC103" t="n">
        <v>15</v>
      </c>
      <c r="AD103" t="inlineStr">
        <is>
          <t>CENTRO|OP-000102|20260823|P-200</t>
        </is>
      </c>
      <c r="AE103" t="n">
        <v>1</v>
      </c>
    </row>
    <row r="104">
      <c r="A104" t="n">
        <v>103</v>
      </c>
      <c r="B104" t="inlineStr">
        <is>
          <t>OP-000103</t>
        </is>
      </c>
      <c r="C104" s="12" t="n">
        <v>46024</v>
      </c>
      <c r="D104" s="13" t="n">
        <v>0.6076388888888888</v>
      </c>
      <c r="E104" t="inlineStr">
        <is>
          <t>C-0034</t>
        </is>
      </c>
      <c r="F104" t="inlineStr">
        <is>
          <t>Cliente 34</t>
        </is>
      </c>
      <c r="G104" t="inlineStr">
        <is>
          <t>P-300</t>
        </is>
      </c>
      <c r="H104" t="inlineStr">
        <is>
          <t>Mouse</t>
        </is>
      </c>
      <c r="I104" t="inlineStr">
        <is>
          <t>Tecnologia</t>
        </is>
      </c>
      <c r="J104" t="inlineStr">
        <is>
          <t>Sur</t>
        </is>
      </c>
      <c r="K104" t="inlineStr">
        <is>
          <t>SUC-08</t>
        </is>
      </c>
      <c r="L104" t="inlineStr">
        <is>
          <t>Tienda</t>
        </is>
      </c>
      <c r="M104" t="inlineStr">
        <is>
          <t>En revision</t>
        </is>
      </c>
      <c r="N104" t="inlineStr">
        <is>
          <t>Baja</t>
        </is>
      </c>
      <c r="O104" t="n">
        <v>28</v>
      </c>
      <c r="P104" s="14" t="n">
        <v>2611</v>
      </c>
      <c r="Q104" s="15" t="n">
        <v>0.15</v>
      </c>
      <c r="R104" s="14" t="n">
        <v>1618.82</v>
      </c>
      <c r="S104" s="12" t="n">
        <v>46034</v>
      </c>
      <c r="T104" s="12" t="n">
        <v>46040</v>
      </c>
      <c r="U104" t="inlineStr">
        <is>
          <t>Resp 8</t>
        </is>
      </c>
      <c r="V104" t="inlineStr">
        <is>
          <t>archivo_02.csv</t>
        </is>
      </c>
      <c r="W104" s="14" t="n">
        <v>73108</v>
      </c>
      <c r="X104" s="14" t="n">
        <v>10966.2</v>
      </c>
      <c r="Y104" s="14" t="n">
        <v>62141.8</v>
      </c>
      <c r="Z104" s="14" t="n">
        <v>45326.96</v>
      </c>
      <c r="AA104" s="14" t="n">
        <v>16814.84</v>
      </c>
      <c r="AB104" s="15" t="n">
        <v>0.2705882352941177</v>
      </c>
      <c r="AC104" t="n">
        <v>16</v>
      </c>
      <c r="AD104" t="inlineStr">
        <is>
          <t>SUR|OP-000103|20260102|P-300</t>
        </is>
      </c>
      <c r="AE104" t="n">
        <v>1</v>
      </c>
    </row>
    <row r="105">
      <c r="A105" t="n">
        <v>104</v>
      </c>
      <c r="B105" t="inlineStr">
        <is>
          <t>OP-000104</t>
        </is>
      </c>
      <c r="C105" s="12" t="n">
        <v>46031</v>
      </c>
      <c r="D105" s="13" t="n">
        <v>0.6527777777777778</v>
      </c>
      <c r="E105" t="inlineStr">
        <is>
          <t>C-0035</t>
        </is>
      </c>
      <c r="F105" t="inlineStr">
        <is>
          <t>Cliente 35</t>
        </is>
      </c>
      <c r="G105" t="inlineStr">
        <is>
          <t>P-400</t>
        </is>
      </c>
      <c r="H105" t="inlineStr">
        <is>
          <t>Laptop</t>
        </is>
      </c>
      <c r="I105" t="inlineStr">
        <is>
          <t>Tecnologia</t>
        </is>
      </c>
      <c r="J105" t="inlineStr">
        <is>
          <t>Pacifico</t>
        </is>
      </c>
      <c r="K105" t="inlineStr">
        <is>
          <t>SUC-01</t>
        </is>
      </c>
      <c r="L105" t="inlineStr">
        <is>
          <t>Distribuidor</t>
        </is>
      </c>
      <c r="M105" t="inlineStr">
        <is>
          <t>Aprobado</t>
        </is>
      </c>
      <c r="N105" t="inlineStr">
        <is>
          <t>Critica</t>
        </is>
      </c>
      <c r="O105" t="n">
        <v>31</v>
      </c>
      <c r="P105" s="14" t="n">
        <v>2748</v>
      </c>
      <c r="Q105" s="15" t="n">
        <v>0</v>
      </c>
      <c r="R105" s="14" t="n">
        <v>1511.4</v>
      </c>
      <c r="S105" s="12" t="n">
        <v>46042</v>
      </c>
      <c r="T105" s="12" t="n">
        <v>46048</v>
      </c>
      <c r="U105" t="inlineStr">
        <is>
          <t>Resp 9</t>
        </is>
      </c>
      <c r="V105" t="inlineStr">
        <is>
          <t>archivo_03.csv</t>
        </is>
      </c>
      <c r="W105" s="14" t="n">
        <v>85188</v>
      </c>
      <c r="X105" s="14" t="n">
        <v>0</v>
      </c>
      <c r="Y105" s="14" t="n">
        <v>85188</v>
      </c>
      <c r="Z105" s="14" t="n">
        <v>46853.4</v>
      </c>
      <c r="AA105" s="14" t="n">
        <v>38334.6</v>
      </c>
      <c r="AB105" s="15" t="n">
        <v>0.45</v>
      </c>
      <c r="AC105" t="n">
        <v>17</v>
      </c>
      <c r="AD105" t="inlineStr">
        <is>
          <t>PACIFICO|OP-000104|20260109|P-400</t>
        </is>
      </c>
      <c r="AE105" t="n">
        <v>1</v>
      </c>
    </row>
    <row r="106">
      <c r="A106" t="n">
        <v>105</v>
      </c>
      <c r="B106" t="inlineStr">
        <is>
          <t>OP-000105</t>
        </is>
      </c>
      <c r="C106" s="12" t="n">
        <v>46038</v>
      </c>
      <c r="D106" s="13" t="n">
        <v>0.6979166666666666</v>
      </c>
      <c r="E106" t="inlineStr">
        <is>
          <t>C-0001</t>
        </is>
      </c>
      <c r="F106" t="inlineStr">
        <is>
          <t>Cliente 1</t>
        </is>
      </c>
      <c r="G106" t="inlineStr">
        <is>
          <t>P-500</t>
        </is>
      </c>
      <c r="H106" t="inlineStr">
        <is>
          <t>Dock</t>
        </is>
      </c>
      <c r="I106" t="inlineStr">
        <is>
          <t>Tecnologia</t>
        </is>
      </c>
      <c r="J106" t="inlineStr">
        <is>
          <t>Norte</t>
        </is>
      </c>
      <c r="K106" t="inlineStr">
        <is>
          <t>SUC-02</t>
        </is>
      </c>
      <c r="L106" t="inlineStr">
        <is>
          <t>Digital</t>
        </is>
      </c>
      <c r="M106" t="inlineStr">
        <is>
          <t>Pendiente</t>
        </is>
      </c>
      <c r="N106" t="inlineStr">
        <is>
          <t>Alta</t>
        </is>
      </c>
      <c r="O106" t="n">
        <v>34</v>
      </c>
      <c r="P106" s="14" t="n">
        <v>2885</v>
      </c>
      <c r="Q106" s="15" t="n">
        <v>0.05</v>
      </c>
      <c r="R106" s="14" t="n">
        <v>1615.6</v>
      </c>
      <c r="S106" s="12" t="n">
        <v>46050</v>
      </c>
      <c r="T106" s="12" t="n">
        <v>46041</v>
      </c>
      <c r="U106" t="inlineStr">
        <is>
          <t>Resp 10</t>
        </is>
      </c>
      <c r="V106" t="inlineStr">
        <is>
          <t>archivo_04.csv</t>
        </is>
      </c>
      <c r="W106" s="14" t="n">
        <v>98090</v>
      </c>
      <c r="X106" s="14" t="n">
        <v>4904.5</v>
      </c>
      <c r="Y106" s="14" t="n">
        <v>93185.5</v>
      </c>
      <c r="Z106" s="14" t="n">
        <v>54930.39999999999</v>
      </c>
      <c r="AA106" s="14" t="n">
        <v>38255.10000000001</v>
      </c>
      <c r="AB106" s="15" t="n">
        <v>0.4105263157894737</v>
      </c>
      <c r="AC106" t="n">
        <v>3</v>
      </c>
      <c r="AD106" t="inlineStr">
        <is>
          <t>NORTE|OP-000105|20260116|P-500</t>
        </is>
      </c>
      <c r="AE106" t="n">
        <v>1</v>
      </c>
    </row>
    <row r="107">
      <c r="A107" t="n">
        <v>106</v>
      </c>
      <c r="B107" t="inlineStr">
        <is>
          <t>OP-000106</t>
        </is>
      </c>
      <c r="C107" s="12" t="n">
        <v>46045</v>
      </c>
      <c r="D107" s="13" t="n">
        <v>0.7430555555555556</v>
      </c>
      <c r="E107" t="inlineStr">
        <is>
          <t>C-0002</t>
        </is>
      </c>
      <c r="F107" t="inlineStr">
        <is>
          <t>Cliente 2</t>
        </is>
      </c>
      <c r="G107" t="inlineStr">
        <is>
          <t>P-100</t>
        </is>
      </c>
      <c r="H107" t="inlineStr">
        <is>
          <t>Monitor 24</t>
        </is>
      </c>
      <c r="I107" t="inlineStr">
        <is>
          <t>Tecnologia</t>
        </is>
      </c>
      <c r="J107" t="inlineStr">
        <is>
          <t>Centro</t>
        </is>
      </c>
      <c r="K107" t="inlineStr">
        <is>
          <t>SUC-03</t>
        </is>
      </c>
      <c r="L107" t="inlineStr">
        <is>
          <t>Tienda</t>
        </is>
      </c>
      <c r="M107" t="inlineStr">
        <is>
          <t>Cancelado</t>
        </is>
      </c>
      <c r="N107" t="inlineStr">
        <is>
          <t>Media</t>
        </is>
      </c>
      <c r="O107" t="n">
        <v>37</v>
      </c>
      <c r="P107" s="14" t="n">
        <v>3022</v>
      </c>
      <c r="Q107" s="15" t="n">
        <v>0.1</v>
      </c>
      <c r="R107" s="14" t="n">
        <v>1722.54</v>
      </c>
      <c r="S107" s="12" t="n">
        <v>46058</v>
      </c>
      <c r="T107" s="12" t="n">
        <v>46049</v>
      </c>
      <c r="U107" t="inlineStr">
        <is>
          <t>Resp 11</t>
        </is>
      </c>
      <c r="V107" t="inlineStr">
        <is>
          <t>archivo_05.csv</t>
        </is>
      </c>
      <c r="W107" s="14" t="n">
        <v>111814</v>
      </c>
      <c r="X107" s="14" t="n">
        <v>11181.4</v>
      </c>
      <c r="Y107" s="14" t="n">
        <v>100632.6</v>
      </c>
      <c r="Z107" s="14" t="n">
        <v>63733.98</v>
      </c>
      <c r="AA107" s="14" t="n">
        <v>36898.62000000001</v>
      </c>
      <c r="AB107" s="15" t="n">
        <v>0.3666666666666668</v>
      </c>
      <c r="AC107" t="n">
        <v>4</v>
      </c>
      <c r="AD107" t="inlineStr">
        <is>
          <t>CENTRO|OP-000106|20260123|P-100</t>
        </is>
      </c>
      <c r="AE107" t="n">
        <v>1</v>
      </c>
    </row>
    <row r="108">
      <c r="A108" t="n">
        <v>107</v>
      </c>
      <c r="B108" t="inlineStr">
        <is>
          <t>OP-000107</t>
        </is>
      </c>
      <c r="C108" s="12" t="n">
        <v>46052</v>
      </c>
      <c r="D108" s="13" t="n">
        <v>0.7881944444444444</v>
      </c>
      <c r="E108" t="inlineStr">
        <is>
          <t>C-0003</t>
        </is>
      </c>
      <c r="F108" t="inlineStr">
        <is>
          <t>Cliente 3</t>
        </is>
      </c>
      <c r="G108" t="inlineStr">
        <is>
          <t>P-200</t>
        </is>
      </c>
      <c r="H108" t="inlineStr">
        <is>
          <t>Teclado</t>
        </is>
      </c>
      <c r="I108" t="inlineStr">
        <is>
          <t>Tecnologia</t>
        </is>
      </c>
      <c r="J108" t="inlineStr">
        <is>
          <t>Sur</t>
        </is>
      </c>
      <c r="K108" t="inlineStr">
        <is>
          <t>SUC-04</t>
        </is>
      </c>
      <c r="L108" t="inlineStr">
        <is>
          <t>Distribuidor</t>
        </is>
      </c>
      <c r="M108" t="inlineStr">
        <is>
          <t>En revision</t>
        </is>
      </c>
      <c r="N108" t="inlineStr">
        <is>
          <t>Baja</t>
        </is>
      </c>
      <c r="O108" t="n">
        <v>40</v>
      </c>
      <c r="P108" s="14" t="n">
        <v>3159</v>
      </c>
      <c r="Q108" s="15" t="n">
        <v>0.15</v>
      </c>
      <c r="R108" s="14" t="n">
        <v>1832.22</v>
      </c>
      <c r="S108" s="12" t="n">
        <v>46066</v>
      </c>
      <c r="T108" s="12" t="n">
        <v>46057</v>
      </c>
      <c r="U108" t="inlineStr">
        <is>
          <t>Resp 12</t>
        </is>
      </c>
      <c r="V108" t="inlineStr">
        <is>
          <t>archivo_06.csv</t>
        </is>
      </c>
      <c r="W108" s="14" t="n">
        <v>126360</v>
      </c>
      <c r="X108" s="14" t="n">
        <v>18954</v>
      </c>
      <c r="Y108" s="14" t="n">
        <v>107406</v>
      </c>
      <c r="Z108" s="14" t="n">
        <v>73288.8</v>
      </c>
      <c r="AA108" s="14" t="n">
        <v>34117.2</v>
      </c>
      <c r="AB108" s="15" t="n">
        <v>0.3176470588235294</v>
      </c>
      <c r="AC108" t="n">
        <v>5</v>
      </c>
      <c r="AD108" t="inlineStr">
        <is>
          <t>SUR|OP-000107|20260130|P-200</t>
        </is>
      </c>
      <c r="AE108" t="n">
        <v>1</v>
      </c>
    </row>
    <row r="109">
      <c r="A109" t="n">
        <v>108</v>
      </c>
      <c r="B109" t="inlineStr">
        <is>
          <t>OP-000108</t>
        </is>
      </c>
      <c r="C109" s="12" t="n">
        <v>46059</v>
      </c>
      <c r="D109" s="13" t="n">
        <v>0.2916666666666667</v>
      </c>
      <c r="E109" t="inlineStr">
        <is>
          <t>C-0004</t>
        </is>
      </c>
      <c r="F109" t="inlineStr">
        <is>
          <t>Cliente 4</t>
        </is>
      </c>
      <c r="G109" t="inlineStr">
        <is>
          <t>P-300</t>
        </is>
      </c>
      <c r="H109" t="inlineStr">
        <is>
          <t>Mouse</t>
        </is>
      </c>
      <c r="I109" t="inlineStr">
        <is>
          <t>Tecnologia</t>
        </is>
      </c>
      <c r="J109" t="inlineStr">
        <is>
          <t>Pacifico</t>
        </is>
      </c>
      <c r="K109" t="inlineStr">
        <is>
          <t>SUC-05</t>
        </is>
      </c>
      <c r="L109" t="inlineStr">
        <is>
          <t>Digital</t>
        </is>
      </c>
      <c r="M109" t="inlineStr">
        <is>
          <t>Aprobado</t>
        </is>
      </c>
      <c r="N109" t="inlineStr">
        <is>
          <t>Critica</t>
        </is>
      </c>
      <c r="O109" t="n">
        <v>43</v>
      </c>
      <c r="P109" s="14" t="n">
        <v>3296</v>
      </c>
      <c r="Q109" s="15" t="n">
        <v>0</v>
      </c>
      <c r="R109" s="14" t="n">
        <v>1944.64</v>
      </c>
      <c r="S109" s="12" t="n">
        <v>46074</v>
      </c>
      <c r="T109" s="12" t="n">
        <v>46065</v>
      </c>
      <c r="U109" t="inlineStr">
        <is>
          <t>Resp 1</t>
        </is>
      </c>
      <c r="V109" t="inlineStr">
        <is>
          <t>archivo_01.csv</t>
        </is>
      </c>
      <c r="W109" s="14" t="n">
        <v>141728</v>
      </c>
      <c r="X109" s="14" t="n">
        <v>0</v>
      </c>
      <c r="Y109" s="14" t="n">
        <v>141728</v>
      </c>
      <c r="Z109" s="14" t="n">
        <v>83619.52</v>
      </c>
      <c r="AA109" s="14" t="n">
        <v>58108.48</v>
      </c>
      <c r="AB109" s="15" t="n">
        <v>0.41</v>
      </c>
      <c r="AC109" t="n">
        <v>6</v>
      </c>
      <c r="AD109" t="inlineStr">
        <is>
          <t>PACIFICO|OP-000108|20260206|P-300</t>
        </is>
      </c>
      <c r="AE109" t="n">
        <v>1</v>
      </c>
    </row>
    <row r="110">
      <c r="A110" t="n">
        <v>109</v>
      </c>
      <c r="B110" t="inlineStr">
        <is>
          <t>OP-000109</t>
        </is>
      </c>
      <c r="C110" s="12" t="n">
        <v>46066</v>
      </c>
      <c r="D110" s="13" t="n">
        <v>0.3368055555555556</v>
      </c>
      <c r="E110" t="inlineStr">
        <is>
          <t>C-0005</t>
        </is>
      </c>
      <c r="F110" t="inlineStr">
        <is>
          <t>Cliente 5</t>
        </is>
      </c>
      <c r="G110" t="inlineStr">
        <is>
          <t>P-400</t>
        </is>
      </c>
      <c r="H110" t="inlineStr">
        <is>
          <t>Laptop</t>
        </is>
      </c>
      <c r="I110" t="inlineStr">
        <is>
          <t>Tecnologia</t>
        </is>
      </c>
      <c r="J110" t="inlineStr">
        <is>
          <t>Norte</t>
        </is>
      </c>
      <c r="K110" t="inlineStr">
        <is>
          <t>SUC-06</t>
        </is>
      </c>
      <c r="L110" t="inlineStr">
        <is>
          <t>Tienda</t>
        </is>
      </c>
      <c r="M110" t="inlineStr">
        <is>
          <t>Pendiente</t>
        </is>
      </c>
      <c r="N110" t="inlineStr">
        <is>
          <t>Alta</t>
        </is>
      </c>
      <c r="O110" t="n">
        <v>46</v>
      </c>
      <c r="P110" s="14" t="n">
        <v>3433</v>
      </c>
      <c r="Q110" s="15" t="n">
        <v>0.05</v>
      </c>
      <c r="R110" s="14" t="n">
        <v>2059.8</v>
      </c>
      <c r="S110" s="12" t="n">
        <v>46082</v>
      </c>
      <c r="T110" s="12" t="n">
        <v>46073</v>
      </c>
      <c r="U110" t="inlineStr">
        <is>
          <t>Resp 2</t>
        </is>
      </c>
      <c r="V110" t="inlineStr">
        <is>
          <t>archivo_02.csv</t>
        </is>
      </c>
      <c r="W110" s="14" t="n">
        <v>157918</v>
      </c>
      <c r="X110" s="14" t="n">
        <v>7895.900000000001</v>
      </c>
      <c r="Y110" s="14" t="n">
        <v>150022.1</v>
      </c>
      <c r="Z110" s="14" t="n">
        <v>94750.8</v>
      </c>
      <c r="AA110" s="14" t="n">
        <v>55271.3</v>
      </c>
      <c r="AB110" s="15" t="n">
        <v>0.3684210526315789</v>
      </c>
      <c r="AC110" t="n">
        <v>7</v>
      </c>
      <c r="AD110" t="inlineStr">
        <is>
          <t>NORTE|OP-000109|20260213|P-400</t>
        </is>
      </c>
      <c r="AE110" t="n">
        <v>1</v>
      </c>
    </row>
    <row r="111">
      <c r="A111" t="n">
        <v>110</v>
      </c>
      <c r="B111" t="inlineStr">
        <is>
          <t>OP-000110</t>
        </is>
      </c>
      <c r="C111" s="12" t="n">
        <v>46073</v>
      </c>
      <c r="D111" s="13" t="n">
        <v>0.3819444444444444</v>
      </c>
      <c r="E111" t="inlineStr">
        <is>
          <t>C-0006</t>
        </is>
      </c>
      <c r="F111" t="inlineStr">
        <is>
          <t>Cliente 6</t>
        </is>
      </c>
      <c r="G111" t="inlineStr">
        <is>
          <t>P-500</t>
        </is>
      </c>
      <c r="H111" t="inlineStr">
        <is>
          <t>Dock</t>
        </is>
      </c>
      <c r="I111" t="inlineStr">
        <is>
          <t>Tecnologia</t>
        </is>
      </c>
      <c r="J111" t="inlineStr">
        <is>
          <t>Centro</t>
        </is>
      </c>
      <c r="K111" t="inlineStr">
        <is>
          <t>SUC-07</t>
        </is>
      </c>
      <c r="L111" t="inlineStr">
        <is>
          <t>Distribuidor</t>
        </is>
      </c>
      <c r="M111" t="inlineStr">
        <is>
          <t>Cancelado</t>
        </is>
      </c>
      <c r="N111" t="inlineStr">
        <is>
          <t>Media</t>
        </is>
      </c>
      <c r="O111" t="n">
        <v>2</v>
      </c>
      <c r="P111" s="14" t="n">
        <v>3570</v>
      </c>
      <c r="Q111" s="15" t="n">
        <v>0.1</v>
      </c>
      <c r="R111" s="14" t="n">
        <v>2177.7</v>
      </c>
      <c r="S111" s="12" t="n">
        <v>46080</v>
      </c>
      <c r="T111" s="12" t="n">
        <v>46081</v>
      </c>
      <c r="U111" t="inlineStr">
        <is>
          <t>Resp 3</t>
        </is>
      </c>
      <c r="V111" t="inlineStr">
        <is>
          <t>archivo_03.csv</t>
        </is>
      </c>
      <c r="W111" s="14" t="n">
        <v>7140</v>
      </c>
      <c r="X111" s="14" t="n">
        <v>714</v>
      </c>
      <c r="Y111" s="14" t="n">
        <v>6426</v>
      </c>
      <c r="Z111" s="14" t="n">
        <v>4355.4</v>
      </c>
      <c r="AA111" s="14" t="n">
        <v>2070.6</v>
      </c>
      <c r="AB111" s="15" t="n">
        <v>0.3222222222222223</v>
      </c>
      <c r="AC111" t="n">
        <v>8</v>
      </c>
      <c r="AD111" t="inlineStr">
        <is>
          <t>CENTRO|OP-000110|20260220|P-500</t>
        </is>
      </c>
      <c r="AE111" t="n">
        <v>1</v>
      </c>
    </row>
    <row r="112">
      <c r="A112" t="n">
        <v>111</v>
      </c>
      <c r="B112" t="inlineStr">
        <is>
          <t>OP-000111</t>
        </is>
      </c>
      <c r="C112" s="12" t="n">
        <v>46080</v>
      </c>
      <c r="D112" s="13" t="n">
        <v>0.4270833333333333</v>
      </c>
      <c r="E112" t="inlineStr">
        <is>
          <t>C-0007</t>
        </is>
      </c>
      <c r="F112" t="inlineStr">
        <is>
          <t>Cliente 7</t>
        </is>
      </c>
      <c r="G112" t="inlineStr">
        <is>
          <t>P-100</t>
        </is>
      </c>
      <c r="H112" t="inlineStr">
        <is>
          <t>Monitor 24</t>
        </is>
      </c>
      <c r="I112" t="inlineStr">
        <is>
          <t>Tecnologia</t>
        </is>
      </c>
      <c r="J112" t="inlineStr">
        <is>
          <t>Sur</t>
        </is>
      </c>
      <c r="K112" t="inlineStr">
        <is>
          <t>SUC-08</t>
        </is>
      </c>
      <c r="L112" t="inlineStr">
        <is>
          <t>Digital</t>
        </is>
      </c>
      <c r="M112" t="inlineStr">
        <is>
          <t>En revision</t>
        </is>
      </c>
      <c r="N112" t="inlineStr">
        <is>
          <t>Baja</t>
        </is>
      </c>
      <c r="O112" t="n">
        <v>5</v>
      </c>
      <c r="P112" s="14" t="n">
        <v>3707</v>
      </c>
      <c r="Q112" s="15" t="n">
        <v>0.15</v>
      </c>
      <c r="R112" s="14" t="n">
        <v>2298.34</v>
      </c>
      <c r="S112" s="12" t="n">
        <v>46088</v>
      </c>
      <c r="T112" s="12" t="n">
        <v>46089</v>
      </c>
      <c r="U112" t="inlineStr">
        <is>
          <t>Resp 4</t>
        </is>
      </c>
      <c r="V112" t="inlineStr">
        <is>
          <t>archivo_04.csv</t>
        </is>
      </c>
      <c r="W112" s="14" t="n">
        <v>18535</v>
      </c>
      <c r="X112" s="14" t="n">
        <v>2780.25</v>
      </c>
      <c r="Y112" s="14" t="n">
        <v>15754.75</v>
      </c>
      <c r="Z112" s="14" t="n">
        <v>11491.7</v>
      </c>
      <c r="AA112" s="14" t="n">
        <v>4263.049999999999</v>
      </c>
      <c r="AB112" s="15" t="n">
        <v>0.2705882352941176</v>
      </c>
      <c r="AC112" t="n">
        <v>9</v>
      </c>
      <c r="AD112" t="inlineStr">
        <is>
          <t>SUR|OP-000111|20260227|P-100</t>
        </is>
      </c>
      <c r="AE112" t="n">
        <v>1</v>
      </c>
    </row>
    <row r="113">
      <c r="A113" t="n">
        <v>112</v>
      </c>
      <c r="B113" t="inlineStr">
        <is>
          <t>OP-000112</t>
        </is>
      </c>
      <c r="C113" s="12" t="n">
        <v>46087</v>
      </c>
      <c r="D113" s="13" t="n">
        <v>0.4722222222222222</v>
      </c>
      <c r="E113" t="inlineStr">
        <is>
          <t>C-0008</t>
        </is>
      </c>
      <c r="F113" t="inlineStr">
        <is>
          <t>Cliente 8</t>
        </is>
      </c>
      <c r="G113" t="inlineStr">
        <is>
          <t>P-200</t>
        </is>
      </c>
      <c r="H113" t="inlineStr">
        <is>
          <t>Teclado</t>
        </is>
      </c>
      <c r="I113" t="inlineStr">
        <is>
          <t>Tecnologia</t>
        </is>
      </c>
      <c r="J113" t="inlineStr">
        <is>
          <t>Pacifico</t>
        </is>
      </c>
      <c r="K113" t="inlineStr">
        <is>
          <t>SUC-01</t>
        </is>
      </c>
      <c r="L113" t="inlineStr">
        <is>
          <t>Tienda</t>
        </is>
      </c>
      <c r="M113" t="inlineStr">
        <is>
          <t>Aprobado</t>
        </is>
      </c>
      <c r="N113" t="inlineStr">
        <is>
          <t>Critica</t>
        </is>
      </c>
      <c r="O113" t="n">
        <v>8</v>
      </c>
      <c r="P113" s="14" t="n">
        <v>3844</v>
      </c>
      <c r="Q113" s="15" t="n">
        <v>0</v>
      </c>
      <c r="R113" s="14" t="n">
        <v>2114.2</v>
      </c>
      <c r="S113" s="12" t="n">
        <v>46096</v>
      </c>
      <c r="T113" s="12" t="n">
        <v>46097</v>
      </c>
      <c r="U113" t="inlineStr">
        <is>
          <t>Resp 5</t>
        </is>
      </c>
      <c r="V113" t="inlineStr">
        <is>
          <t>archivo_05.csv</t>
        </is>
      </c>
      <c r="W113" s="14" t="n">
        <v>30752</v>
      </c>
      <c r="X113" s="14" t="n">
        <v>0</v>
      </c>
      <c r="Y113" s="14" t="n">
        <v>30752</v>
      </c>
      <c r="Z113" s="14" t="n">
        <v>16913.6</v>
      </c>
      <c r="AA113" s="14" t="n">
        <v>13838.4</v>
      </c>
      <c r="AB113" s="15" t="n">
        <v>0.4500000000000001</v>
      </c>
      <c r="AC113" t="n">
        <v>10</v>
      </c>
      <c r="AD113" t="inlineStr">
        <is>
          <t>PACIFICO|OP-000112|20260306|P-200</t>
        </is>
      </c>
      <c r="AE113" t="n">
        <v>1</v>
      </c>
    </row>
    <row r="114">
      <c r="A114" t="n">
        <v>113</v>
      </c>
      <c r="B114" t="inlineStr">
        <is>
          <t>OP-000113</t>
        </is>
      </c>
      <c r="C114" s="12" t="n">
        <v>46094</v>
      </c>
      <c r="D114" s="13" t="n">
        <v>0.5173611111111112</v>
      </c>
      <c r="E114" t="inlineStr">
        <is>
          <t>C-0009</t>
        </is>
      </c>
      <c r="F114" t="inlineStr">
        <is>
          <t>Cliente 9</t>
        </is>
      </c>
      <c r="G114" t="inlineStr">
        <is>
          <t>P-300</t>
        </is>
      </c>
      <c r="H114" t="inlineStr">
        <is>
          <t>Mouse</t>
        </is>
      </c>
      <c r="I114" t="inlineStr">
        <is>
          <t>Tecnologia</t>
        </is>
      </c>
      <c r="J114" t="inlineStr">
        <is>
          <t>Norte</t>
        </is>
      </c>
      <c r="K114" t="inlineStr">
        <is>
          <t>SUC-02</t>
        </is>
      </c>
      <c r="L114" t="inlineStr">
        <is>
          <t>Distribuidor</t>
        </is>
      </c>
      <c r="M114" t="inlineStr">
        <is>
          <t>Pendiente</t>
        </is>
      </c>
      <c r="N114" t="inlineStr">
        <is>
          <t>Alta</t>
        </is>
      </c>
      <c r="O114" t="n">
        <v>11</v>
      </c>
      <c r="P114" s="14" t="n">
        <v>3981</v>
      </c>
      <c r="Q114" s="15" t="n">
        <v>0.05</v>
      </c>
      <c r="R114" s="14" t="n">
        <v>2229.36</v>
      </c>
      <c r="S114" s="12" t="n">
        <v>46104</v>
      </c>
      <c r="T114" s="12" t="n">
        <v>46105</v>
      </c>
      <c r="U114" t="inlineStr">
        <is>
          <t>Resp 6</t>
        </is>
      </c>
      <c r="V114" t="inlineStr">
        <is>
          <t>archivo_06.csv</t>
        </is>
      </c>
      <c r="W114" s="14" t="n">
        <v>43791</v>
      </c>
      <c r="X114" s="14" t="n">
        <v>2189.55</v>
      </c>
      <c r="Y114" s="14" t="n">
        <v>41601.45</v>
      </c>
      <c r="Z114" s="14" t="n">
        <v>24522.96</v>
      </c>
      <c r="AA114" s="14" t="n">
        <v>17078.48999999999</v>
      </c>
      <c r="AB114" s="15" t="n">
        <v>0.4105263157894736</v>
      </c>
      <c r="AC114" t="n">
        <v>11</v>
      </c>
      <c r="AD114" t="inlineStr">
        <is>
          <t>NORTE|OP-000113|20260313|P-300</t>
        </is>
      </c>
      <c r="AE114" t="n">
        <v>1</v>
      </c>
    </row>
    <row r="115">
      <c r="A115" t="n">
        <v>114</v>
      </c>
      <c r="B115" t="inlineStr">
        <is>
          <t>OP-000114</t>
        </is>
      </c>
      <c r="C115" s="12" t="n">
        <v>46101</v>
      </c>
      <c r="D115" s="13" t="n">
        <v>0.5625</v>
      </c>
      <c r="E115" t="inlineStr">
        <is>
          <t>C-0010</t>
        </is>
      </c>
      <c r="F115" t="inlineStr">
        <is>
          <t>Cliente 10</t>
        </is>
      </c>
      <c r="G115" t="inlineStr">
        <is>
          <t>P-400</t>
        </is>
      </c>
      <c r="H115" t="inlineStr">
        <is>
          <t>Laptop</t>
        </is>
      </c>
      <c r="I115" t="inlineStr">
        <is>
          <t>Tecnologia</t>
        </is>
      </c>
      <c r="J115" t="inlineStr">
        <is>
          <t>Centro</t>
        </is>
      </c>
      <c r="K115" t="inlineStr">
        <is>
          <t>SUC-03</t>
        </is>
      </c>
      <c r="L115" t="inlineStr">
        <is>
          <t>Digital</t>
        </is>
      </c>
      <c r="M115" t="inlineStr">
        <is>
          <t>Cancelado</t>
        </is>
      </c>
      <c r="N115" t="inlineStr">
        <is>
          <t>Media</t>
        </is>
      </c>
      <c r="O115" t="n">
        <v>14</v>
      </c>
      <c r="P115" s="14" t="n">
        <v>4118</v>
      </c>
      <c r="Q115" s="15" t="n">
        <v>0.1</v>
      </c>
      <c r="R115" s="14" t="n">
        <v>2347.26</v>
      </c>
      <c r="S115" s="12" t="n">
        <v>46112</v>
      </c>
      <c r="T115" s="12" t="n">
        <v>46113</v>
      </c>
      <c r="U115" t="inlineStr">
        <is>
          <t>Resp 7</t>
        </is>
      </c>
      <c r="V115" t="inlineStr">
        <is>
          <t>archivo_01.csv</t>
        </is>
      </c>
      <c r="W115" s="14" t="n">
        <v>57652</v>
      </c>
      <c r="X115" s="14" t="n">
        <v>5765.200000000001</v>
      </c>
      <c r="Y115" s="14" t="n">
        <v>51886.8</v>
      </c>
      <c r="Z115" s="14" t="n">
        <v>32861.64</v>
      </c>
      <c r="AA115" s="14" t="n">
        <v>19025.16</v>
      </c>
      <c r="AB115" s="15" t="n">
        <v>0.3666666666666667</v>
      </c>
      <c r="AC115" t="n">
        <v>12</v>
      </c>
      <c r="AD115" t="inlineStr">
        <is>
          <t>CENTRO|OP-000114|20260320|P-400</t>
        </is>
      </c>
      <c r="AE115" t="n">
        <v>1</v>
      </c>
    </row>
    <row r="116">
      <c r="A116" t="n">
        <v>115</v>
      </c>
      <c r="B116" t="inlineStr">
        <is>
          <t>OP-000115</t>
        </is>
      </c>
      <c r="C116" s="12" t="n">
        <v>46108</v>
      </c>
      <c r="D116" s="13" t="n">
        <v>0.6076388888888888</v>
      </c>
      <c r="E116" t="inlineStr">
        <is>
          <t>C-0011</t>
        </is>
      </c>
      <c r="F116" t="inlineStr">
        <is>
          <t>Cliente 11</t>
        </is>
      </c>
      <c r="G116" t="inlineStr">
        <is>
          <t>P-500</t>
        </is>
      </c>
      <c r="H116" t="inlineStr">
        <is>
          <t>Dock</t>
        </is>
      </c>
      <c r="I116" t="inlineStr">
        <is>
          <t>Tecnologia</t>
        </is>
      </c>
      <c r="J116" t="inlineStr">
        <is>
          <t>Sur</t>
        </is>
      </c>
      <c r="K116" t="inlineStr">
        <is>
          <t>SUC-04</t>
        </is>
      </c>
      <c r="L116" t="inlineStr">
        <is>
          <t>Tienda</t>
        </is>
      </c>
      <c r="M116" t="inlineStr">
        <is>
          <t>En revision</t>
        </is>
      </c>
      <c r="N116" t="inlineStr">
        <is>
          <t>Baja</t>
        </is>
      </c>
      <c r="O116" t="n">
        <v>17</v>
      </c>
      <c r="P116" s="14" t="n">
        <v>4255</v>
      </c>
      <c r="Q116" s="15" t="n">
        <v>0.15</v>
      </c>
      <c r="R116" s="14" t="n">
        <v>2467.9</v>
      </c>
      <c r="S116" s="12" t="n">
        <v>46120</v>
      </c>
      <c r="T116" s="12" t="n">
        <v>46121</v>
      </c>
      <c r="U116" t="inlineStr">
        <is>
          <t>Resp 8</t>
        </is>
      </c>
      <c r="V116" t="inlineStr">
        <is>
          <t>archivo_02.csv</t>
        </is>
      </c>
      <c r="W116" s="14" t="n">
        <v>72335</v>
      </c>
      <c r="X116" s="14" t="n">
        <v>10850.25</v>
      </c>
      <c r="Y116" s="14" t="n">
        <v>61484.75</v>
      </c>
      <c r="Z116" s="14" t="n">
        <v>41954.3</v>
      </c>
      <c r="AA116" s="14" t="n">
        <v>19530.45</v>
      </c>
      <c r="AB116" s="15" t="n">
        <v>0.3176470588235293</v>
      </c>
      <c r="AC116" t="n">
        <v>13</v>
      </c>
      <c r="AD116" t="inlineStr">
        <is>
          <t>SUR|OP-000115|20260327|P-500</t>
        </is>
      </c>
      <c r="AE116" t="n">
        <v>1</v>
      </c>
    </row>
    <row r="117">
      <c r="A117" t="n">
        <v>116</v>
      </c>
      <c r="B117" t="inlineStr">
        <is>
          <t>OP-000116</t>
        </is>
      </c>
      <c r="C117" s="12" t="n">
        <v>46115</v>
      </c>
      <c r="D117" s="13" t="n">
        <v>0.6527777777777778</v>
      </c>
      <c r="E117" t="inlineStr">
        <is>
          <t>C-0012</t>
        </is>
      </c>
      <c r="F117" t="inlineStr">
        <is>
          <t>Cliente 12</t>
        </is>
      </c>
      <c r="G117" t="inlineStr">
        <is>
          <t>P-100</t>
        </is>
      </c>
      <c r="H117" t="inlineStr">
        <is>
          <t>Monitor 24</t>
        </is>
      </c>
      <c r="I117" t="inlineStr">
        <is>
          <t>Tecnologia</t>
        </is>
      </c>
      <c r="J117" t="inlineStr">
        <is>
          <t>Pacifico</t>
        </is>
      </c>
      <c r="K117" t="inlineStr">
        <is>
          <t>SUC-05</t>
        </is>
      </c>
      <c r="L117" t="inlineStr">
        <is>
          <t>Distribuidor</t>
        </is>
      </c>
      <c r="M117" t="inlineStr">
        <is>
          <t>Aprobado</t>
        </is>
      </c>
      <c r="N117" t="inlineStr">
        <is>
          <t>Critica</t>
        </is>
      </c>
      <c r="O117" t="n">
        <v>20</v>
      </c>
      <c r="P117" s="14" t="n">
        <v>4392</v>
      </c>
      <c r="Q117" s="15" t="n">
        <v>0</v>
      </c>
      <c r="R117" s="14" t="n">
        <v>2591.28</v>
      </c>
      <c r="S117" s="12" t="n">
        <v>46128</v>
      </c>
      <c r="T117" s="12" t="n">
        <v>46129</v>
      </c>
      <c r="U117" t="inlineStr">
        <is>
          <t>Resp 9</t>
        </is>
      </c>
      <c r="V117" t="inlineStr">
        <is>
          <t>archivo_03.csv</t>
        </is>
      </c>
      <c r="W117" s="14" t="n">
        <v>87840</v>
      </c>
      <c r="X117" s="14" t="n">
        <v>0</v>
      </c>
      <c r="Y117" s="14" t="n">
        <v>87840</v>
      </c>
      <c r="Z117" s="14" t="n">
        <v>51825.60000000001</v>
      </c>
      <c r="AA117" s="14" t="n">
        <v>36014.39999999999</v>
      </c>
      <c r="AB117" s="15" t="n">
        <v>0.4099999999999999</v>
      </c>
      <c r="AC117" t="n">
        <v>14</v>
      </c>
      <c r="AD117" t="inlineStr">
        <is>
          <t>PACIFICO|OP-000116|20260403|P-100</t>
        </is>
      </c>
      <c r="AE117" t="n">
        <v>1</v>
      </c>
    </row>
    <row r="118">
      <c r="A118" t="n">
        <v>117</v>
      </c>
      <c r="B118" t="inlineStr">
        <is>
          <t>OP-000117</t>
        </is>
      </c>
      <c r="C118" s="12" t="n">
        <v>46122</v>
      </c>
      <c r="D118" s="13" t="n">
        <v>0.6979166666666666</v>
      </c>
      <c r="E118" t="inlineStr">
        <is>
          <t>C-0013</t>
        </is>
      </c>
      <c r="F118" t="inlineStr">
        <is>
          <t>Cliente 13</t>
        </is>
      </c>
      <c r="G118" t="inlineStr">
        <is>
          <t>P-200</t>
        </is>
      </c>
      <c r="H118" t="inlineStr">
        <is>
          <t>Teclado</t>
        </is>
      </c>
      <c r="I118" t="inlineStr">
        <is>
          <t>Tecnologia</t>
        </is>
      </c>
      <c r="J118" t="inlineStr">
        <is>
          <t>Norte</t>
        </is>
      </c>
      <c r="K118" t="inlineStr">
        <is>
          <t>SUC-06</t>
        </is>
      </c>
      <c r="L118" t="inlineStr">
        <is>
          <t>Digital</t>
        </is>
      </c>
      <c r="M118" t="inlineStr">
        <is>
          <t>Pendiente</t>
        </is>
      </c>
      <c r="N118" t="inlineStr">
        <is>
          <t>Alta</t>
        </is>
      </c>
      <c r="O118" t="n">
        <v>23</v>
      </c>
      <c r="P118" s="14" t="n">
        <v>4529</v>
      </c>
      <c r="Q118" s="15" t="n">
        <v>0.05</v>
      </c>
      <c r="R118" s="14" t="n">
        <v>2717.4</v>
      </c>
      <c r="S118" s="12" t="n">
        <v>46136</v>
      </c>
      <c r="T118" s="12" t="n">
        <v>46137</v>
      </c>
      <c r="U118" t="inlineStr">
        <is>
          <t>Resp 10</t>
        </is>
      </c>
      <c r="V118" t="inlineStr">
        <is>
          <t>archivo_04.csv</t>
        </is>
      </c>
      <c r="W118" s="14" t="n">
        <v>104167</v>
      </c>
      <c r="X118" s="14" t="n">
        <v>5208.35</v>
      </c>
      <c r="Y118" s="14" t="n">
        <v>98958.64999999999</v>
      </c>
      <c r="Z118" s="14" t="n">
        <v>62500.2</v>
      </c>
      <c r="AA118" s="14" t="n">
        <v>36458.44999999999</v>
      </c>
      <c r="AB118" s="15" t="n">
        <v>0.3684210526315789</v>
      </c>
      <c r="AC118" t="n">
        <v>15</v>
      </c>
      <c r="AD118" t="inlineStr">
        <is>
          <t>NORTE|OP-000117|20260410|P-200</t>
        </is>
      </c>
      <c r="AE118" t="n">
        <v>1</v>
      </c>
    </row>
    <row r="119">
      <c r="A119" t="n">
        <v>118</v>
      </c>
      <c r="B119" t="inlineStr">
        <is>
          <t>OP-000118</t>
        </is>
      </c>
      <c r="C119" s="12" t="n">
        <v>46129</v>
      </c>
      <c r="D119" s="13" t="n">
        <v>0.7430555555555556</v>
      </c>
      <c r="E119" t="inlineStr">
        <is>
          <t>C-0014</t>
        </is>
      </c>
      <c r="F119" t="inlineStr">
        <is>
          <t>Cliente 14</t>
        </is>
      </c>
      <c r="G119" t="inlineStr">
        <is>
          <t>P-300</t>
        </is>
      </c>
      <c r="H119" t="inlineStr">
        <is>
          <t>Mouse</t>
        </is>
      </c>
      <c r="I119" t="inlineStr">
        <is>
          <t>Tecnologia</t>
        </is>
      </c>
      <c r="J119" t="inlineStr">
        <is>
          <t>Centro</t>
        </is>
      </c>
      <c r="K119" t="inlineStr">
        <is>
          <t>SUC-07</t>
        </is>
      </c>
      <c r="L119" t="inlineStr">
        <is>
          <t>Tienda</t>
        </is>
      </c>
      <c r="M119" t="inlineStr">
        <is>
          <t>Cancelado</t>
        </is>
      </c>
      <c r="N119" t="inlineStr">
        <is>
          <t>Media</t>
        </is>
      </c>
      <c r="O119" t="n">
        <v>26</v>
      </c>
      <c r="P119" s="14" t="n">
        <v>4666</v>
      </c>
      <c r="Q119" s="15" t="n">
        <v>0.1</v>
      </c>
      <c r="R119" s="14" t="n">
        <v>2846.26</v>
      </c>
      <c r="S119" s="12" t="n">
        <v>46144</v>
      </c>
      <c r="T119" s="12" t="n">
        <v>46145</v>
      </c>
      <c r="U119" t="inlineStr">
        <is>
          <t>Resp 11</t>
        </is>
      </c>
      <c r="V119" t="inlineStr">
        <is>
          <t>archivo_05.csv</t>
        </is>
      </c>
      <c r="W119" s="14" t="n">
        <v>121316</v>
      </c>
      <c r="X119" s="14" t="n">
        <v>12131.6</v>
      </c>
      <c r="Y119" s="14" t="n">
        <v>109184.4</v>
      </c>
      <c r="Z119" s="14" t="n">
        <v>74002.76000000001</v>
      </c>
      <c r="AA119" s="14" t="n">
        <v>35181.63999999998</v>
      </c>
      <c r="AB119" s="15" t="n">
        <v>0.3222222222222221</v>
      </c>
      <c r="AC119" t="n">
        <v>16</v>
      </c>
      <c r="AD119" t="inlineStr">
        <is>
          <t>CENTRO|OP-000118|20260417|P-300</t>
        </is>
      </c>
      <c r="AE119" t="n">
        <v>1</v>
      </c>
    </row>
    <row r="120">
      <c r="A120" t="n">
        <v>119</v>
      </c>
      <c r="B120" t="inlineStr">
        <is>
          <t>OP-000119</t>
        </is>
      </c>
      <c r="C120" s="12" t="n">
        <v>46136</v>
      </c>
      <c r="D120" s="13" t="n">
        <v>0.7881944444444444</v>
      </c>
      <c r="E120" t="inlineStr">
        <is>
          <t>C-0015</t>
        </is>
      </c>
      <c r="F120" t="inlineStr">
        <is>
          <t>Cliente 15</t>
        </is>
      </c>
      <c r="G120" t="inlineStr">
        <is>
          <t>P-400</t>
        </is>
      </c>
      <c r="H120" t="inlineStr">
        <is>
          <t>Laptop</t>
        </is>
      </c>
      <c r="I120" t="inlineStr">
        <is>
          <t>Tecnologia</t>
        </is>
      </c>
      <c r="J120" t="inlineStr">
        <is>
          <t>Sur</t>
        </is>
      </c>
      <c r="K120" t="inlineStr">
        <is>
          <t>SUC-08</t>
        </is>
      </c>
      <c r="L120" t="inlineStr">
        <is>
          <t>Distribuidor</t>
        </is>
      </c>
      <c r="M120" t="inlineStr">
        <is>
          <t>En revision</t>
        </is>
      </c>
      <c r="N120" t="inlineStr">
        <is>
          <t>Baja</t>
        </is>
      </c>
      <c r="O120" t="n">
        <v>29</v>
      </c>
      <c r="P120" s="14" t="n">
        <v>4803</v>
      </c>
      <c r="Q120" s="15" t="n">
        <v>0.15</v>
      </c>
      <c r="R120" s="14" t="n">
        <v>2977.86</v>
      </c>
      <c r="S120" s="12" t="n">
        <v>46152</v>
      </c>
      <c r="T120" s="12" t="n">
        <v>46153</v>
      </c>
      <c r="U120" t="inlineStr">
        <is>
          <t>Resp 12</t>
        </is>
      </c>
      <c r="V120" t="inlineStr">
        <is>
          <t>archivo_06.csv</t>
        </is>
      </c>
      <c r="W120" s="14" t="n">
        <v>139287</v>
      </c>
      <c r="X120" s="14" t="n">
        <v>20893.05</v>
      </c>
      <c r="Y120" s="14" t="n">
        <v>118393.95</v>
      </c>
      <c r="Z120" s="14" t="n">
        <v>86357.94</v>
      </c>
      <c r="AA120" s="14" t="n">
        <v>32036.00999999999</v>
      </c>
      <c r="AB120" s="15" t="n">
        <v>0.2705882352941176</v>
      </c>
      <c r="AC120" t="n">
        <v>17</v>
      </c>
      <c r="AD120" t="inlineStr">
        <is>
          <t>SUR|OP-000119|20260424|P-400</t>
        </is>
      </c>
      <c r="AE120" t="n">
        <v>1</v>
      </c>
    </row>
    <row r="121">
      <c r="A121" t="n">
        <v>120</v>
      </c>
      <c r="B121" t="inlineStr">
        <is>
          <t>OP-000120</t>
        </is>
      </c>
      <c r="C121" s="12" t="n">
        <v>46143</v>
      </c>
      <c r="D121" s="13" t="n">
        <v>0.2916666666666667</v>
      </c>
      <c r="E121" t="inlineStr">
        <is>
          <t>C-0016</t>
        </is>
      </c>
      <c r="F121" t="inlineStr">
        <is>
          <t>Cliente 16</t>
        </is>
      </c>
      <c r="G121" t="inlineStr">
        <is>
          <t>P-500</t>
        </is>
      </c>
      <c r="H121" t="inlineStr">
        <is>
          <t>Dock</t>
        </is>
      </c>
      <c r="I121" t="inlineStr">
        <is>
          <t>Tecnologia</t>
        </is>
      </c>
      <c r="J121" t="inlineStr">
        <is>
          <t>Pacifico</t>
        </is>
      </c>
      <c r="K121" t="inlineStr">
        <is>
          <t>SUC-01</t>
        </is>
      </c>
      <c r="L121" t="inlineStr">
        <is>
          <t>Digital</t>
        </is>
      </c>
      <c r="M121" t="inlineStr">
        <is>
          <t>Aprobado</t>
        </is>
      </c>
      <c r="N121" t="inlineStr">
        <is>
          <t>Critica</t>
        </is>
      </c>
      <c r="O121" t="n">
        <v>32</v>
      </c>
      <c r="P121" s="14" t="n">
        <v>4940</v>
      </c>
      <c r="Q121" s="15" t="n">
        <v>0</v>
      </c>
      <c r="R121" s="14" t="n">
        <v>2717</v>
      </c>
      <c r="S121" s="12" t="n">
        <v>46150</v>
      </c>
      <c r="T121" s="12" t="n">
        <v>46146</v>
      </c>
      <c r="U121" t="inlineStr">
        <is>
          <t>Resp 1</t>
        </is>
      </c>
      <c r="V121" t="inlineStr">
        <is>
          <t>archivo_01.csv</t>
        </is>
      </c>
      <c r="W121" s="14" t="n">
        <v>158080</v>
      </c>
      <c r="X121" s="14" t="n">
        <v>0</v>
      </c>
      <c r="Y121" s="14" t="n">
        <v>158080</v>
      </c>
      <c r="Z121" s="14" t="n">
        <v>86944</v>
      </c>
      <c r="AA121" s="14" t="n">
        <v>71136</v>
      </c>
      <c r="AB121" s="15" t="n">
        <v>0.45</v>
      </c>
      <c r="AC121" t="n">
        <v>3</v>
      </c>
      <c r="AD121" t="inlineStr">
        <is>
          <t>PACIFICO|OP-000120|20260501|P-500</t>
        </is>
      </c>
      <c r="AE121" t="n">
        <v>1</v>
      </c>
    </row>
    <row r="122">
      <c r="A122" t="n">
        <v>121</v>
      </c>
      <c r="B122" t="inlineStr">
        <is>
          <t>OP-000121</t>
        </is>
      </c>
      <c r="C122" s="12" t="n">
        <v>46150</v>
      </c>
      <c r="D122" s="13" t="n">
        <v>0.3368055555555556</v>
      </c>
      <c r="E122" t="inlineStr">
        <is>
          <t>C-0017</t>
        </is>
      </c>
      <c r="F122" t="inlineStr">
        <is>
          <t>Cliente 17</t>
        </is>
      </c>
      <c r="G122" t="inlineStr">
        <is>
          <t>P-100</t>
        </is>
      </c>
      <c r="H122" t="inlineStr">
        <is>
          <t>Monitor 24</t>
        </is>
      </c>
      <c r="I122" t="inlineStr">
        <is>
          <t>Tecnologia</t>
        </is>
      </c>
      <c r="J122" t="inlineStr">
        <is>
          <t>Norte</t>
        </is>
      </c>
      <c r="K122" t="inlineStr">
        <is>
          <t>SUC-02</t>
        </is>
      </c>
      <c r="L122" t="inlineStr">
        <is>
          <t>Tienda</t>
        </is>
      </c>
      <c r="M122" t="inlineStr">
        <is>
          <t>Pendiente</t>
        </is>
      </c>
      <c r="N122" t="inlineStr">
        <is>
          <t>Alta</t>
        </is>
      </c>
      <c r="O122" t="n">
        <v>35</v>
      </c>
      <c r="P122" s="14" t="n">
        <v>5077</v>
      </c>
      <c r="Q122" s="15" t="n">
        <v>0.05</v>
      </c>
      <c r="R122" s="14" t="n">
        <v>2843.12</v>
      </c>
      <c r="S122" s="12" t="n">
        <v>46158</v>
      </c>
      <c r="T122" s="12" t="n">
        <v>46154</v>
      </c>
      <c r="U122" t="inlineStr">
        <is>
          <t>Resp 2</t>
        </is>
      </c>
      <c r="V122" t="inlineStr">
        <is>
          <t>archivo_02.csv</t>
        </is>
      </c>
      <c r="W122" s="14" t="n">
        <v>177695</v>
      </c>
      <c r="X122" s="14" t="n">
        <v>8884.75</v>
      </c>
      <c r="Y122" s="14" t="n">
        <v>168810.25</v>
      </c>
      <c r="Z122" s="14" t="n">
        <v>99509.2</v>
      </c>
      <c r="AA122" s="14" t="n">
        <v>69301.05</v>
      </c>
      <c r="AB122" s="15" t="n">
        <v>0.4105263157894737</v>
      </c>
      <c r="AC122" t="n">
        <v>4</v>
      </c>
      <c r="AD122" t="inlineStr">
        <is>
          <t>NORTE|OP-000121|20260508|P-100</t>
        </is>
      </c>
      <c r="AE122" t="n">
        <v>1</v>
      </c>
    </row>
    <row r="123">
      <c r="A123" t="n">
        <v>122</v>
      </c>
      <c r="B123" t="inlineStr">
        <is>
          <t>OP-000122</t>
        </is>
      </c>
      <c r="C123" s="12" t="n">
        <v>46157</v>
      </c>
      <c r="D123" s="13" t="n">
        <v>0.3819444444444444</v>
      </c>
      <c r="E123" t="inlineStr">
        <is>
          <t>C-0018</t>
        </is>
      </c>
      <c r="F123" t="inlineStr">
        <is>
          <t>Cliente 18</t>
        </is>
      </c>
      <c r="G123" t="inlineStr">
        <is>
          <t>P-200</t>
        </is>
      </c>
      <c r="H123" t="inlineStr">
        <is>
          <t>Teclado</t>
        </is>
      </c>
      <c r="I123" t="inlineStr">
        <is>
          <t>Tecnologia</t>
        </is>
      </c>
      <c r="J123" t="inlineStr">
        <is>
          <t>Centro</t>
        </is>
      </c>
      <c r="K123" t="inlineStr">
        <is>
          <t>SUC-03</t>
        </is>
      </c>
      <c r="L123" t="inlineStr">
        <is>
          <t>Distribuidor</t>
        </is>
      </c>
      <c r="M123" t="inlineStr">
        <is>
          <t>Cancelado</t>
        </is>
      </c>
      <c r="N123" t="inlineStr">
        <is>
          <t>Media</t>
        </is>
      </c>
      <c r="O123" t="n">
        <v>38</v>
      </c>
      <c r="P123" s="14" t="n">
        <v>5214</v>
      </c>
      <c r="Q123" s="15" t="n">
        <v>0.1</v>
      </c>
      <c r="R123" s="14" t="n">
        <v>2971.98</v>
      </c>
      <c r="S123" s="12" t="n">
        <v>46166</v>
      </c>
      <c r="T123" s="12" t="n">
        <v>46162</v>
      </c>
      <c r="U123" t="inlineStr">
        <is>
          <t>Resp 3</t>
        </is>
      </c>
      <c r="V123" t="inlineStr">
        <is>
          <t>archivo_03.csv</t>
        </is>
      </c>
      <c r="W123" s="14" t="n">
        <v>198132</v>
      </c>
      <c r="X123" s="14" t="n">
        <v>19813.2</v>
      </c>
      <c r="Y123" s="14" t="n">
        <v>178318.8</v>
      </c>
      <c r="Z123" s="14" t="n">
        <v>112935.24</v>
      </c>
      <c r="AA123" s="14" t="n">
        <v>65383.55999999998</v>
      </c>
      <c r="AB123" s="15" t="n">
        <v>0.3666666666666666</v>
      </c>
      <c r="AC123" t="n">
        <v>5</v>
      </c>
      <c r="AD123" t="inlineStr">
        <is>
          <t>CENTRO|OP-000122|20260515|P-200</t>
        </is>
      </c>
      <c r="AE123" t="n">
        <v>1</v>
      </c>
    </row>
    <row r="124">
      <c r="A124" t="n">
        <v>123</v>
      </c>
      <c r="B124" t="inlineStr">
        <is>
          <t>OP-000123</t>
        </is>
      </c>
      <c r="C124" s="12" t="n">
        <v>46164</v>
      </c>
      <c r="D124" s="13" t="n">
        <v>0.4270833333333333</v>
      </c>
      <c r="E124" t="inlineStr">
        <is>
          <t>C-0019</t>
        </is>
      </c>
      <c r="F124" t="inlineStr">
        <is>
          <t>Cliente 19</t>
        </is>
      </c>
      <c r="G124" t="inlineStr">
        <is>
          <t>P-300</t>
        </is>
      </c>
      <c r="H124" t="inlineStr">
        <is>
          <t>Mouse</t>
        </is>
      </c>
      <c r="I124" t="inlineStr">
        <is>
          <t>Tecnologia</t>
        </is>
      </c>
      <c r="J124" t="inlineStr">
        <is>
          <t>Sur</t>
        </is>
      </c>
      <c r="K124" t="inlineStr">
        <is>
          <t>SUC-04</t>
        </is>
      </c>
      <c r="L124" t="inlineStr">
        <is>
          <t>Digital</t>
        </is>
      </c>
      <c r="M124" t="inlineStr">
        <is>
          <t>En revision</t>
        </is>
      </c>
      <c r="N124" t="inlineStr">
        <is>
          <t>Baja</t>
        </is>
      </c>
      <c r="O124" t="n">
        <v>41</v>
      </c>
      <c r="P124" s="14" t="n">
        <v>5351</v>
      </c>
      <c r="Q124" s="15" t="n">
        <v>0.15</v>
      </c>
      <c r="R124" s="14" t="n">
        <v>3103.58</v>
      </c>
      <c r="S124" s="12" t="n">
        <v>46174</v>
      </c>
      <c r="T124" s="12" t="n">
        <v>46170</v>
      </c>
      <c r="U124" t="inlineStr">
        <is>
          <t>Resp 4</t>
        </is>
      </c>
      <c r="V124" t="inlineStr">
        <is>
          <t>archivo_04.csv</t>
        </is>
      </c>
      <c r="W124" s="14" t="n">
        <v>219391</v>
      </c>
      <c r="X124" s="14" t="n">
        <v>32908.65</v>
      </c>
      <c r="Y124" s="14" t="n">
        <v>186482.35</v>
      </c>
      <c r="Z124" s="14" t="n">
        <v>127246.78</v>
      </c>
      <c r="AA124" s="14" t="n">
        <v>59235.57000000001</v>
      </c>
      <c r="AB124" s="15" t="n">
        <v>0.3176470588235294</v>
      </c>
      <c r="AC124" t="n">
        <v>6</v>
      </c>
      <c r="AD124" t="inlineStr">
        <is>
          <t>SUR|OP-000123|20260522|P-300</t>
        </is>
      </c>
      <c r="AE124" t="n">
        <v>1</v>
      </c>
    </row>
    <row r="125">
      <c r="A125" t="n">
        <v>124</v>
      </c>
      <c r="B125" t="inlineStr">
        <is>
          <t>OP-000124</t>
        </is>
      </c>
      <c r="C125" s="12" t="n">
        <v>46171</v>
      </c>
      <c r="D125" s="13" t="n">
        <v>0.4722222222222222</v>
      </c>
      <c r="E125" t="inlineStr">
        <is>
          <t>C-0020</t>
        </is>
      </c>
      <c r="F125" t="inlineStr">
        <is>
          <t>Cliente 20</t>
        </is>
      </c>
      <c r="G125" t="inlineStr">
        <is>
          <t>P-400</t>
        </is>
      </c>
      <c r="H125" t="inlineStr">
        <is>
          <t>Laptop</t>
        </is>
      </c>
      <c r="I125" t="inlineStr">
        <is>
          <t>Tecnologia</t>
        </is>
      </c>
      <c r="J125" t="inlineStr">
        <is>
          <t>Pacifico</t>
        </is>
      </c>
      <c r="K125" t="inlineStr">
        <is>
          <t>SUC-05</t>
        </is>
      </c>
      <c r="L125" t="inlineStr">
        <is>
          <t>Tienda</t>
        </is>
      </c>
      <c r="M125" t="inlineStr">
        <is>
          <t>Aprobado</t>
        </is>
      </c>
      <c r="N125" t="inlineStr">
        <is>
          <t>Critica</t>
        </is>
      </c>
      <c r="O125" t="n">
        <v>44</v>
      </c>
      <c r="P125" s="14" t="n">
        <v>5488</v>
      </c>
      <c r="Q125" s="15" t="n">
        <v>0</v>
      </c>
      <c r="R125" s="14" t="n">
        <v>3237.92</v>
      </c>
      <c r="S125" s="12" t="n">
        <v>46182</v>
      </c>
      <c r="T125" s="12" t="n">
        <v>46178</v>
      </c>
      <c r="U125" t="inlineStr">
        <is>
          <t>Resp 5</t>
        </is>
      </c>
      <c r="V125" t="inlineStr">
        <is>
          <t>archivo_05.csv</t>
        </is>
      </c>
      <c r="W125" s="14" t="n">
        <v>241472</v>
      </c>
      <c r="X125" s="14" t="n">
        <v>0</v>
      </c>
      <c r="Y125" s="14" t="n">
        <v>241472</v>
      </c>
      <c r="Z125" s="14" t="n">
        <v>142468.48</v>
      </c>
      <c r="AA125" s="14" t="n">
        <v>99003.51999999999</v>
      </c>
      <c r="AB125" s="15" t="n">
        <v>0.41</v>
      </c>
      <c r="AC125" t="n">
        <v>7</v>
      </c>
      <c r="AD125" t="inlineStr">
        <is>
          <t>PACIFICO|OP-000124|20260529|P-400</t>
        </is>
      </c>
      <c r="AE125" t="n">
        <v>1</v>
      </c>
    </row>
    <row r="126">
      <c r="A126" t="n">
        <v>125</v>
      </c>
      <c r="B126" t="inlineStr">
        <is>
          <t>OP-000125</t>
        </is>
      </c>
      <c r="C126" s="12" t="n">
        <v>46178</v>
      </c>
      <c r="D126" s="13" t="n">
        <v>0.5173611111111112</v>
      </c>
      <c r="E126" t="inlineStr">
        <is>
          <t>C-0021</t>
        </is>
      </c>
      <c r="F126" t="inlineStr">
        <is>
          <t>Cliente 21</t>
        </is>
      </c>
      <c r="G126" t="inlineStr">
        <is>
          <t>P-500</t>
        </is>
      </c>
      <c r="H126" t="inlineStr">
        <is>
          <t>Dock</t>
        </is>
      </c>
      <c r="I126" t="inlineStr">
        <is>
          <t>Tecnologia</t>
        </is>
      </c>
      <c r="J126" t="inlineStr">
        <is>
          <t>Norte</t>
        </is>
      </c>
      <c r="K126" t="inlineStr">
        <is>
          <t>SUC-06</t>
        </is>
      </c>
      <c r="L126" t="inlineStr">
        <is>
          <t>Distribuidor</t>
        </is>
      </c>
      <c r="M126" t="inlineStr">
        <is>
          <t>Pendiente</t>
        </is>
      </c>
      <c r="N126" t="inlineStr">
        <is>
          <t>Alta</t>
        </is>
      </c>
      <c r="O126" t="n">
        <v>47</v>
      </c>
      <c r="P126" s="14" t="n">
        <v>5625</v>
      </c>
      <c r="Q126" s="15" t="n">
        <v>0.05</v>
      </c>
      <c r="R126" s="14" t="n">
        <v>3375</v>
      </c>
      <c r="S126" s="12" t="n">
        <v>46190</v>
      </c>
      <c r="T126" s="12" t="n">
        <v>46186</v>
      </c>
      <c r="U126" t="inlineStr">
        <is>
          <t>Resp 6</t>
        </is>
      </c>
      <c r="V126" t="inlineStr">
        <is>
          <t>archivo_06.csv</t>
        </is>
      </c>
      <c r="W126" s="14" t="n">
        <v>264375</v>
      </c>
      <c r="X126" s="14" t="n">
        <v>13218.75</v>
      </c>
      <c r="Y126" s="14" t="n">
        <v>251156.25</v>
      </c>
      <c r="Z126" s="14" t="n">
        <v>158625</v>
      </c>
      <c r="AA126" s="14" t="n">
        <v>92531.25</v>
      </c>
      <c r="AB126" s="15" t="n">
        <v>0.3684210526315789</v>
      </c>
      <c r="AC126" t="n">
        <v>8</v>
      </c>
      <c r="AD126" t="inlineStr">
        <is>
          <t>NORTE|OP-000125|20260605|P-500</t>
        </is>
      </c>
      <c r="AE126" t="n">
        <v>1</v>
      </c>
    </row>
    <row r="127">
      <c r="A127" t="n">
        <v>126</v>
      </c>
      <c r="B127" t="inlineStr">
        <is>
          <t>OP-000126</t>
        </is>
      </c>
      <c r="C127" s="12" t="n">
        <v>46185</v>
      </c>
      <c r="D127" s="13" t="n">
        <v>0.5625</v>
      </c>
      <c r="E127" t="inlineStr">
        <is>
          <t>C-0022</t>
        </is>
      </c>
      <c r="F127" t="inlineStr">
        <is>
          <t>Cliente 22</t>
        </is>
      </c>
      <c r="G127" t="inlineStr">
        <is>
          <t>P-100</t>
        </is>
      </c>
      <c r="H127" t="inlineStr">
        <is>
          <t>Monitor 24</t>
        </is>
      </c>
      <c r="I127" t="inlineStr">
        <is>
          <t>Tecnologia</t>
        </is>
      </c>
      <c r="J127" t="inlineStr">
        <is>
          <t>Centro</t>
        </is>
      </c>
      <c r="K127" t="inlineStr">
        <is>
          <t>SUC-07</t>
        </is>
      </c>
      <c r="L127" t="inlineStr">
        <is>
          <t>Digital</t>
        </is>
      </c>
      <c r="M127" t="inlineStr">
        <is>
          <t>Cancelado</t>
        </is>
      </c>
      <c r="N127" t="inlineStr">
        <is>
          <t>Media</t>
        </is>
      </c>
      <c r="O127" t="n">
        <v>3</v>
      </c>
      <c r="P127" s="14" t="n">
        <v>5762</v>
      </c>
      <c r="Q127" s="15" t="n">
        <v>0.1</v>
      </c>
      <c r="R127" s="14" t="n">
        <v>3514.82</v>
      </c>
      <c r="S127" s="12" t="n">
        <v>46198</v>
      </c>
      <c r="T127" s="12" t="n">
        <v>46194</v>
      </c>
      <c r="U127" t="inlineStr">
        <is>
          <t>Resp 7</t>
        </is>
      </c>
      <c r="V127" t="inlineStr">
        <is>
          <t>archivo_01.csv</t>
        </is>
      </c>
      <c r="W127" s="14" t="n">
        <v>17286</v>
      </c>
      <c r="X127" s="14" t="n">
        <v>1728.6</v>
      </c>
      <c r="Y127" s="14" t="n">
        <v>15557.4</v>
      </c>
      <c r="Z127" s="14" t="n">
        <v>10544.46</v>
      </c>
      <c r="AA127" s="14" t="n">
        <v>5012.939999999999</v>
      </c>
      <c r="AB127" s="15" t="n">
        <v>0.3222222222222221</v>
      </c>
      <c r="AC127" t="n">
        <v>9</v>
      </c>
      <c r="AD127" t="inlineStr">
        <is>
          <t>CENTRO|OP-000126|20260612|P-100</t>
        </is>
      </c>
      <c r="AE127" t="n">
        <v>1</v>
      </c>
    </row>
    <row r="128">
      <c r="A128" t="n">
        <v>127</v>
      </c>
      <c r="B128" t="inlineStr">
        <is>
          <t>OP-000127</t>
        </is>
      </c>
      <c r="C128" s="12" t="n">
        <v>46192</v>
      </c>
      <c r="D128" s="13" t="n">
        <v>0.6076388888888888</v>
      </c>
      <c r="E128" t="inlineStr">
        <is>
          <t>C-0023</t>
        </is>
      </c>
      <c r="F128" t="inlineStr">
        <is>
          <t>Cliente 23</t>
        </is>
      </c>
      <c r="G128" t="inlineStr">
        <is>
          <t>P-200</t>
        </is>
      </c>
      <c r="H128" t="inlineStr">
        <is>
          <t>Teclado</t>
        </is>
      </c>
      <c r="I128" t="inlineStr">
        <is>
          <t>Tecnologia</t>
        </is>
      </c>
      <c r="J128" t="inlineStr">
        <is>
          <t>Sur</t>
        </is>
      </c>
      <c r="K128" t="inlineStr">
        <is>
          <t>SUC-08</t>
        </is>
      </c>
      <c r="L128" t="inlineStr">
        <is>
          <t>Tienda</t>
        </is>
      </c>
      <c r="M128" t="inlineStr">
        <is>
          <t>En revision</t>
        </is>
      </c>
      <c r="N128" t="inlineStr">
        <is>
          <t>Baja</t>
        </is>
      </c>
      <c r="O128" t="n">
        <v>6</v>
      </c>
      <c r="P128" s="14" t="n">
        <v>5899</v>
      </c>
      <c r="Q128" s="15" t="n">
        <v>0.15</v>
      </c>
      <c r="R128" s="14" t="n">
        <v>3657.38</v>
      </c>
      <c r="S128" s="12" t="n">
        <v>46206</v>
      </c>
      <c r="T128" s="12" t="n">
        <v>46202</v>
      </c>
      <c r="U128" t="inlineStr">
        <is>
          <t>Resp 8</t>
        </is>
      </c>
      <c r="V128" t="inlineStr">
        <is>
          <t>archivo_02.csv</t>
        </is>
      </c>
      <c r="W128" s="14" t="n">
        <v>35394</v>
      </c>
      <c r="X128" s="14" t="n">
        <v>5309.099999999999</v>
      </c>
      <c r="Y128" s="14" t="n">
        <v>30084.9</v>
      </c>
      <c r="Z128" s="14" t="n">
        <v>21944.28</v>
      </c>
      <c r="AA128" s="14" t="n">
        <v>8140.620000000003</v>
      </c>
      <c r="AB128" s="15" t="n">
        <v>0.2705882352941177</v>
      </c>
      <c r="AC128" t="n">
        <v>10</v>
      </c>
      <c r="AD128" t="inlineStr">
        <is>
          <t>SUR|OP-000127|20260619|P-200</t>
        </is>
      </c>
      <c r="AE128" t="n">
        <v>1</v>
      </c>
    </row>
    <row r="129">
      <c r="A129" t="n">
        <v>128</v>
      </c>
      <c r="B129" t="inlineStr">
        <is>
          <t>OP-000128</t>
        </is>
      </c>
      <c r="C129" s="12" t="n">
        <v>46199</v>
      </c>
      <c r="D129" s="13" t="n">
        <v>0.6527777777777778</v>
      </c>
      <c r="E129" t="inlineStr">
        <is>
          <t>C-0024</t>
        </is>
      </c>
      <c r="F129" t="inlineStr">
        <is>
          <t>Cliente 24</t>
        </is>
      </c>
      <c r="G129" t="inlineStr">
        <is>
          <t>P-300</t>
        </is>
      </c>
      <c r="H129" t="inlineStr">
        <is>
          <t>Mouse</t>
        </is>
      </c>
      <c r="I129" t="inlineStr">
        <is>
          <t>Tecnologia</t>
        </is>
      </c>
      <c r="J129" t="inlineStr">
        <is>
          <t>Pacifico</t>
        </is>
      </c>
      <c r="K129" t="inlineStr">
        <is>
          <t>SUC-01</t>
        </is>
      </c>
      <c r="L129" t="inlineStr">
        <is>
          <t>Distribuidor</t>
        </is>
      </c>
      <c r="M129" t="inlineStr">
        <is>
          <t>Aprobado</t>
        </is>
      </c>
      <c r="N129" t="inlineStr">
        <is>
          <t>Critica</t>
        </is>
      </c>
      <c r="O129" t="n">
        <v>9</v>
      </c>
      <c r="P129" s="14" t="n">
        <v>6036</v>
      </c>
      <c r="Q129" s="15" t="n">
        <v>0</v>
      </c>
      <c r="R129" s="14" t="n">
        <v>3319.8</v>
      </c>
      <c r="S129" s="12" t="n">
        <v>46214</v>
      </c>
      <c r="T129" s="12" t="n">
        <v>46210</v>
      </c>
      <c r="U129" t="inlineStr">
        <is>
          <t>Resp 9</t>
        </is>
      </c>
      <c r="V129" t="inlineStr">
        <is>
          <t>archivo_03.csv</t>
        </is>
      </c>
      <c r="W129" s="14" t="n">
        <v>54324</v>
      </c>
      <c r="X129" s="14" t="n">
        <v>0</v>
      </c>
      <c r="Y129" s="14" t="n">
        <v>54324</v>
      </c>
      <c r="Z129" s="14" t="n">
        <v>29878.2</v>
      </c>
      <c r="AA129" s="14" t="n">
        <v>24445.8</v>
      </c>
      <c r="AB129" s="15" t="n">
        <v>0.45</v>
      </c>
      <c r="AC129" t="n">
        <v>11</v>
      </c>
      <c r="AD129" t="inlineStr">
        <is>
          <t>PACIFICO|OP-000128|20260626|P-300</t>
        </is>
      </c>
      <c r="AE129" t="n">
        <v>1</v>
      </c>
    </row>
    <row r="130">
      <c r="A130" t="n">
        <v>129</v>
      </c>
      <c r="B130" t="inlineStr">
        <is>
          <t>OP-000129</t>
        </is>
      </c>
      <c r="C130" s="12" t="n">
        <v>46206</v>
      </c>
      <c r="D130" s="13" t="n">
        <v>0.6979166666666666</v>
      </c>
      <c r="E130" t="inlineStr">
        <is>
          <t>C-0025</t>
        </is>
      </c>
      <c r="F130" t="inlineStr">
        <is>
          <t>Cliente 25</t>
        </is>
      </c>
      <c r="G130" t="inlineStr">
        <is>
          <t>P-400</t>
        </is>
      </c>
      <c r="H130" t="inlineStr">
        <is>
          <t>Laptop</t>
        </is>
      </c>
      <c r="I130" t="inlineStr">
        <is>
          <t>Tecnologia</t>
        </is>
      </c>
      <c r="J130" t="inlineStr">
        <is>
          <t>Norte</t>
        </is>
      </c>
      <c r="K130" t="inlineStr">
        <is>
          <t>SUC-02</t>
        </is>
      </c>
      <c r="L130" t="inlineStr">
        <is>
          <t>Digital</t>
        </is>
      </c>
      <c r="M130" t="inlineStr">
        <is>
          <t>Pendiente</t>
        </is>
      </c>
      <c r="N130" t="inlineStr">
        <is>
          <t>Alta</t>
        </is>
      </c>
      <c r="O130" t="n">
        <v>12</v>
      </c>
      <c r="P130" s="14" t="n">
        <v>6173</v>
      </c>
      <c r="Q130" s="15" t="n">
        <v>0.05</v>
      </c>
      <c r="R130" s="14" t="n">
        <v>3456.88</v>
      </c>
      <c r="S130" s="12" t="n">
        <v>46222</v>
      </c>
      <c r="T130" s="12" t="n">
        <v>46218</v>
      </c>
      <c r="U130" t="inlineStr">
        <is>
          <t>Resp 10</t>
        </is>
      </c>
      <c r="V130" t="inlineStr">
        <is>
          <t>archivo_04.csv</t>
        </is>
      </c>
      <c r="W130" s="14" t="n">
        <v>74076</v>
      </c>
      <c r="X130" s="14" t="n">
        <v>3703.8</v>
      </c>
      <c r="Y130" s="14" t="n">
        <v>70372.2</v>
      </c>
      <c r="Z130" s="14" t="n">
        <v>41482.56</v>
      </c>
      <c r="AA130" s="14" t="n">
        <v>28889.64</v>
      </c>
      <c r="AB130" s="15" t="n">
        <v>0.4105263157894737</v>
      </c>
      <c r="AC130" t="n">
        <v>12</v>
      </c>
      <c r="AD130" t="inlineStr">
        <is>
          <t>NORTE|OP-000129|20260703|P-400</t>
        </is>
      </c>
      <c r="AE130" t="n">
        <v>1</v>
      </c>
    </row>
    <row r="131">
      <c r="A131" t="n">
        <v>130</v>
      </c>
      <c r="B131" t="inlineStr">
        <is>
          <t>OP-000130</t>
        </is>
      </c>
      <c r="C131" s="12" t="n">
        <v>46213</v>
      </c>
      <c r="D131" s="13" t="n">
        <v>0.7430555555555556</v>
      </c>
      <c r="E131" t="inlineStr">
        <is>
          <t>C-0026</t>
        </is>
      </c>
      <c r="F131" t="inlineStr">
        <is>
          <t>Cliente 26</t>
        </is>
      </c>
      <c r="G131" t="inlineStr">
        <is>
          <t>P-500</t>
        </is>
      </c>
      <c r="H131" t="inlineStr">
        <is>
          <t>Dock</t>
        </is>
      </c>
      <c r="I131" t="inlineStr">
        <is>
          <t>Tecnologia</t>
        </is>
      </c>
      <c r="J131" t="inlineStr">
        <is>
          <t>Centro</t>
        </is>
      </c>
      <c r="K131" t="inlineStr">
        <is>
          <t>SUC-03</t>
        </is>
      </c>
      <c r="L131" t="inlineStr">
        <is>
          <t>Tienda</t>
        </is>
      </c>
      <c r="M131" t="inlineStr">
        <is>
          <t>Cancelado</t>
        </is>
      </c>
      <c r="N131" t="inlineStr">
        <is>
          <t>Media</t>
        </is>
      </c>
      <c r="O131" t="n">
        <v>15</v>
      </c>
      <c r="P131" s="14" t="n">
        <v>6310</v>
      </c>
      <c r="Q131" s="15" t="n">
        <v>0.1</v>
      </c>
      <c r="R131" s="14" t="n">
        <v>3596.7</v>
      </c>
      <c r="S131" s="12" t="n">
        <v>46220</v>
      </c>
      <c r="T131" s="12" t="n">
        <v>46226</v>
      </c>
      <c r="U131" t="inlineStr">
        <is>
          <t>Resp 11</t>
        </is>
      </c>
      <c r="V131" t="inlineStr">
        <is>
          <t>archivo_05.csv</t>
        </is>
      </c>
      <c r="W131" s="14" t="n">
        <v>94650</v>
      </c>
      <c r="X131" s="14" t="n">
        <v>9465</v>
      </c>
      <c r="Y131" s="14" t="n">
        <v>85185</v>
      </c>
      <c r="Z131" s="14" t="n">
        <v>53950.5</v>
      </c>
      <c r="AA131" s="14" t="n">
        <v>31234.5</v>
      </c>
      <c r="AB131" s="15" t="n">
        <v>0.3666666666666666</v>
      </c>
      <c r="AC131" t="n">
        <v>13</v>
      </c>
      <c r="AD131" t="inlineStr">
        <is>
          <t>CENTRO|OP-000130|20260710|P-500</t>
        </is>
      </c>
      <c r="AE131" t="n">
        <v>1</v>
      </c>
    </row>
    <row r="132">
      <c r="A132" t="n">
        <v>131</v>
      </c>
      <c r="B132" t="inlineStr">
        <is>
          <t>OP-000131</t>
        </is>
      </c>
      <c r="C132" s="12" t="n">
        <v>46220</v>
      </c>
      <c r="D132" s="13" t="n">
        <v>0.7881944444444444</v>
      </c>
      <c r="E132" t="inlineStr">
        <is>
          <t>C-0027</t>
        </is>
      </c>
      <c r="F132" t="inlineStr">
        <is>
          <t>Cliente 27</t>
        </is>
      </c>
      <c r="G132" t="inlineStr">
        <is>
          <t>P-100</t>
        </is>
      </c>
      <c r="H132" t="inlineStr">
        <is>
          <t>Monitor 24</t>
        </is>
      </c>
      <c r="I132" t="inlineStr">
        <is>
          <t>Tecnologia</t>
        </is>
      </c>
      <c r="J132" t="inlineStr">
        <is>
          <t>Sur</t>
        </is>
      </c>
      <c r="K132" t="inlineStr">
        <is>
          <t>SUC-04</t>
        </is>
      </c>
      <c r="L132" t="inlineStr">
        <is>
          <t>Distribuidor</t>
        </is>
      </c>
      <c r="M132" t="inlineStr">
        <is>
          <t>En revision</t>
        </is>
      </c>
      <c r="N132" t="inlineStr">
        <is>
          <t>Baja</t>
        </is>
      </c>
      <c r="O132" t="n">
        <v>18</v>
      </c>
      <c r="P132" s="14" t="n">
        <v>6447</v>
      </c>
      <c r="Q132" s="15" t="n">
        <v>0.15</v>
      </c>
      <c r="R132" s="14" t="n">
        <v>3739.26</v>
      </c>
      <c r="S132" s="12" t="n">
        <v>46228</v>
      </c>
      <c r="T132" s="12" t="n">
        <v>46234</v>
      </c>
      <c r="U132" t="inlineStr">
        <is>
          <t>Resp 12</t>
        </is>
      </c>
      <c r="V132" t="inlineStr">
        <is>
          <t>archivo_06.csv</t>
        </is>
      </c>
      <c r="W132" s="14" t="n">
        <v>116046</v>
      </c>
      <c r="X132" s="14" t="n">
        <v>17406.9</v>
      </c>
      <c r="Y132" s="14" t="n">
        <v>98639.10000000001</v>
      </c>
      <c r="Z132" s="14" t="n">
        <v>67306.68000000001</v>
      </c>
      <c r="AA132" s="14" t="n">
        <v>31332.42</v>
      </c>
      <c r="AB132" s="15" t="n">
        <v>0.3176470588235294</v>
      </c>
      <c r="AC132" t="n">
        <v>14</v>
      </c>
      <c r="AD132" t="inlineStr">
        <is>
          <t>SUR|OP-000131|20260717|P-100</t>
        </is>
      </c>
      <c r="AE132" t="n">
        <v>1</v>
      </c>
    </row>
    <row r="133">
      <c r="A133" t="n">
        <v>132</v>
      </c>
      <c r="B133" t="inlineStr">
        <is>
          <t>OP-000132</t>
        </is>
      </c>
      <c r="C133" s="12" t="n">
        <v>46227</v>
      </c>
      <c r="D133" s="13" t="n">
        <v>0.2916666666666667</v>
      </c>
      <c r="E133" t="inlineStr">
        <is>
          <t>C-0028</t>
        </is>
      </c>
      <c r="F133" t="inlineStr">
        <is>
          <t>Cliente 28</t>
        </is>
      </c>
      <c r="G133" t="inlineStr">
        <is>
          <t>P-200</t>
        </is>
      </c>
      <c r="H133" t="inlineStr">
        <is>
          <t>Teclado</t>
        </is>
      </c>
      <c r="I133" t="inlineStr">
        <is>
          <t>Tecnologia</t>
        </is>
      </c>
      <c r="J133" t="inlineStr">
        <is>
          <t>Pacifico</t>
        </is>
      </c>
      <c r="K133" t="inlineStr">
        <is>
          <t>SUC-05</t>
        </is>
      </c>
      <c r="L133" t="inlineStr">
        <is>
          <t>Digital</t>
        </is>
      </c>
      <c r="M133" t="inlineStr">
        <is>
          <t>Aprobado</t>
        </is>
      </c>
      <c r="N133" t="inlineStr">
        <is>
          <t>Critica</t>
        </is>
      </c>
      <c r="O133" t="n">
        <v>21</v>
      </c>
      <c r="P133" s="14" t="n">
        <v>6584</v>
      </c>
      <c r="Q133" s="15" t="n">
        <v>0</v>
      </c>
      <c r="R133" s="14" t="n">
        <v>3884.56</v>
      </c>
      <c r="S133" s="12" t="n">
        <v>46236</v>
      </c>
      <c r="T133" s="12" t="n">
        <v>46242</v>
      </c>
      <c r="U133" t="inlineStr">
        <is>
          <t>Resp 1</t>
        </is>
      </c>
      <c r="V133" t="inlineStr">
        <is>
          <t>archivo_01.csv</t>
        </is>
      </c>
      <c r="W133" s="14" t="n">
        <v>138264</v>
      </c>
      <c r="X133" s="14" t="n">
        <v>0</v>
      </c>
      <c r="Y133" s="14" t="n">
        <v>138264</v>
      </c>
      <c r="Z133" s="14" t="n">
        <v>81575.75999999999</v>
      </c>
      <c r="AA133" s="14" t="n">
        <v>56688.24000000001</v>
      </c>
      <c r="AB133" s="15" t="n">
        <v>0.41</v>
      </c>
      <c r="AC133" t="n">
        <v>15</v>
      </c>
      <c r="AD133" t="inlineStr">
        <is>
          <t>PACIFICO|OP-000132|20260724|P-200</t>
        </is>
      </c>
      <c r="AE133" t="n">
        <v>1</v>
      </c>
    </row>
    <row r="134">
      <c r="A134" t="n">
        <v>133</v>
      </c>
      <c r="B134" t="inlineStr">
        <is>
          <t>OP-000133</t>
        </is>
      </c>
      <c r="C134" s="12" t="n">
        <v>46234</v>
      </c>
      <c r="D134" s="13" t="n">
        <v>0.3368055555555556</v>
      </c>
      <c r="E134" t="inlineStr">
        <is>
          <t>C-0029</t>
        </is>
      </c>
      <c r="F134" t="inlineStr">
        <is>
          <t>Cliente 29</t>
        </is>
      </c>
      <c r="G134" t="inlineStr">
        <is>
          <t>P-300</t>
        </is>
      </c>
      <c r="H134" t="inlineStr">
        <is>
          <t>Mouse</t>
        </is>
      </c>
      <c r="I134" t="inlineStr">
        <is>
          <t>Tecnologia</t>
        </is>
      </c>
      <c r="J134" t="inlineStr">
        <is>
          <t>Norte</t>
        </is>
      </c>
      <c r="K134" t="inlineStr">
        <is>
          <t>SUC-06</t>
        </is>
      </c>
      <c r="L134" t="inlineStr">
        <is>
          <t>Tienda</t>
        </is>
      </c>
      <c r="M134" t="inlineStr">
        <is>
          <t>Pendiente</t>
        </is>
      </c>
      <c r="N134" t="inlineStr">
        <is>
          <t>Alta</t>
        </is>
      </c>
      <c r="O134" t="n">
        <v>24</v>
      </c>
      <c r="P134" s="14" t="n">
        <v>6721</v>
      </c>
      <c r="Q134" s="15" t="n">
        <v>0.05</v>
      </c>
      <c r="R134" s="14" t="n">
        <v>4032.6</v>
      </c>
      <c r="S134" s="12" t="n">
        <v>46244</v>
      </c>
      <c r="T134" s="12" t="n">
        <v>46250</v>
      </c>
      <c r="U134" t="inlineStr">
        <is>
          <t>Resp 2</t>
        </is>
      </c>
      <c r="V134" t="inlineStr">
        <is>
          <t>archivo_02.csv</t>
        </is>
      </c>
      <c r="W134" s="14" t="n">
        <v>161304</v>
      </c>
      <c r="X134" s="14" t="n">
        <v>8065.200000000001</v>
      </c>
      <c r="Y134" s="14" t="n">
        <v>153238.8</v>
      </c>
      <c r="Z134" s="14" t="n">
        <v>96782.39999999999</v>
      </c>
      <c r="AA134" s="14" t="n">
        <v>56456.39999999999</v>
      </c>
      <c r="AB134" s="15" t="n">
        <v>0.3684210526315789</v>
      </c>
      <c r="AC134" t="n">
        <v>16</v>
      </c>
      <c r="AD134" t="inlineStr">
        <is>
          <t>NORTE|OP-000133|20260731|P-300</t>
        </is>
      </c>
      <c r="AE134" t="n">
        <v>1</v>
      </c>
    </row>
    <row r="135">
      <c r="A135" t="n">
        <v>134</v>
      </c>
      <c r="B135" t="inlineStr">
        <is>
          <t>OP-000134</t>
        </is>
      </c>
      <c r="C135" s="12" t="n">
        <v>46241</v>
      </c>
      <c r="D135" s="13" t="n">
        <v>0.3819444444444444</v>
      </c>
      <c r="E135" t="inlineStr">
        <is>
          <t>C-0030</t>
        </is>
      </c>
      <c r="F135" t="inlineStr">
        <is>
          <t>Cliente 30</t>
        </is>
      </c>
      <c r="G135" t="inlineStr">
        <is>
          <t>P-400</t>
        </is>
      </c>
      <c r="H135" t="inlineStr">
        <is>
          <t>Laptop</t>
        </is>
      </c>
      <c r="I135" t="inlineStr">
        <is>
          <t>Tecnologia</t>
        </is>
      </c>
      <c r="J135" t="inlineStr">
        <is>
          <t>Centro</t>
        </is>
      </c>
      <c r="K135" t="inlineStr">
        <is>
          <t>SUC-07</t>
        </is>
      </c>
      <c r="L135" t="inlineStr">
        <is>
          <t>Distribuidor</t>
        </is>
      </c>
      <c r="M135" t="inlineStr">
        <is>
          <t>Cancelado</t>
        </is>
      </c>
      <c r="N135" t="inlineStr">
        <is>
          <t>Media</t>
        </is>
      </c>
      <c r="O135" t="n">
        <v>27</v>
      </c>
      <c r="P135" s="14" t="n">
        <v>6858</v>
      </c>
      <c r="Q135" s="15" t="n">
        <v>0.1</v>
      </c>
      <c r="R135" s="14" t="n">
        <v>4183.38</v>
      </c>
      <c r="S135" s="12" t="n">
        <v>46252</v>
      </c>
      <c r="T135" s="12" t="n">
        <v>46258</v>
      </c>
      <c r="U135" t="inlineStr">
        <is>
          <t>Resp 3</t>
        </is>
      </c>
      <c r="V135" t="inlineStr">
        <is>
          <t>archivo_03.csv</t>
        </is>
      </c>
      <c r="W135" s="14" t="n">
        <v>185166</v>
      </c>
      <c r="X135" s="14" t="n">
        <v>18516.6</v>
      </c>
      <c r="Y135" s="14" t="n">
        <v>166649.4</v>
      </c>
      <c r="Z135" s="14" t="n">
        <v>112951.26</v>
      </c>
      <c r="AA135" s="14" t="n">
        <v>53698.13999999998</v>
      </c>
      <c r="AB135" s="15" t="n">
        <v>0.3222222222222221</v>
      </c>
      <c r="AC135" t="n">
        <v>17</v>
      </c>
      <c r="AD135" t="inlineStr">
        <is>
          <t>CENTRO|OP-000134|20260807|P-400</t>
        </is>
      </c>
      <c r="AE135" t="n">
        <v>1</v>
      </c>
    </row>
    <row r="136">
      <c r="A136" t="n">
        <v>135</v>
      </c>
      <c r="B136" t="inlineStr">
        <is>
          <t>OP-000135</t>
        </is>
      </c>
      <c r="C136" s="12" t="n">
        <v>46248</v>
      </c>
      <c r="D136" s="13" t="n">
        <v>0.4270833333333333</v>
      </c>
      <c r="E136" t="inlineStr">
        <is>
          <t>C-0031</t>
        </is>
      </c>
      <c r="F136" t="inlineStr">
        <is>
          <t>Cliente 31</t>
        </is>
      </c>
      <c r="G136" t="inlineStr">
        <is>
          <t>P-500</t>
        </is>
      </c>
      <c r="H136" t="inlineStr">
        <is>
          <t>Dock</t>
        </is>
      </c>
      <c r="I136" t="inlineStr">
        <is>
          <t>Tecnologia</t>
        </is>
      </c>
      <c r="J136" t="inlineStr">
        <is>
          <t>Sur</t>
        </is>
      </c>
      <c r="K136" t="inlineStr">
        <is>
          <t>SUC-08</t>
        </is>
      </c>
      <c r="L136" t="inlineStr">
        <is>
          <t>Digital</t>
        </is>
      </c>
      <c r="M136" t="inlineStr">
        <is>
          <t>En revision</t>
        </is>
      </c>
      <c r="N136" t="inlineStr">
        <is>
          <t>Baja</t>
        </is>
      </c>
      <c r="O136" t="n">
        <v>30</v>
      </c>
      <c r="P136" s="14" t="n">
        <v>6995</v>
      </c>
      <c r="Q136" s="15" t="n">
        <v>0.15</v>
      </c>
      <c r="R136" s="14" t="n">
        <v>4336.9</v>
      </c>
      <c r="S136" s="12" t="n">
        <v>46260</v>
      </c>
      <c r="T136" s="12" t="n">
        <v>46251</v>
      </c>
      <c r="U136" t="inlineStr">
        <is>
          <t>Resp 4</t>
        </is>
      </c>
      <c r="V136" t="inlineStr">
        <is>
          <t>archivo_04.csv</t>
        </is>
      </c>
      <c r="W136" s="14" t="n">
        <v>209850</v>
      </c>
      <c r="X136" s="14" t="n">
        <v>31477.5</v>
      </c>
      <c r="Y136" s="14" t="n">
        <v>178372.5</v>
      </c>
      <c r="Z136" s="14" t="n">
        <v>130107</v>
      </c>
      <c r="AA136" s="14" t="n">
        <v>48265.50000000001</v>
      </c>
      <c r="AB136" s="15" t="n">
        <v>0.2705882352941177</v>
      </c>
      <c r="AC136" t="n">
        <v>3</v>
      </c>
      <c r="AD136" t="inlineStr">
        <is>
          <t>SUR|OP-000135|20260814|P-500</t>
        </is>
      </c>
      <c r="AE136" t="n">
        <v>1</v>
      </c>
    </row>
    <row r="137">
      <c r="A137" t="n">
        <v>136</v>
      </c>
      <c r="B137" t="inlineStr">
        <is>
          <t>OP-000136</t>
        </is>
      </c>
      <c r="C137" s="12" t="n">
        <v>46255</v>
      </c>
      <c r="D137" s="13" t="n">
        <v>0.4722222222222222</v>
      </c>
      <c r="E137" t="inlineStr">
        <is>
          <t>C-0032</t>
        </is>
      </c>
      <c r="F137" t="inlineStr">
        <is>
          <t>Cliente 32</t>
        </is>
      </c>
      <c r="G137" t="inlineStr">
        <is>
          <t>P-100</t>
        </is>
      </c>
      <c r="H137" t="inlineStr">
        <is>
          <t>Monitor 24</t>
        </is>
      </c>
      <c r="I137" t="inlineStr">
        <is>
          <t>Tecnologia</t>
        </is>
      </c>
      <c r="J137" t="inlineStr">
        <is>
          <t>Pacifico</t>
        </is>
      </c>
      <c r="K137" t="inlineStr">
        <is>
          <t>SUC-01</t>
        </is>
      </c>
      <c r="L137" t="inlineStr">
        <is>
          <t>Tienda</t>
        </is>
      </c>
      <c r="M137" t="inlineStr">
        <is>
          <t>Aprobado</t>
        </is>
      </c>
      <c r="N137" t="inlineStr">
        <is>
          <t>Critica</t>
        </is>
      </c>
      <c r="O137" t="n">
        <v>33</v>
      </c>
      <c r="P137" s="14" t="n">
        <v>7132</v>
      </c>
      <c r="Q137" s="15" t="n">
        <v>0</v>
      </c>
      <c r="R137" s="14" t="n">
        <v>3922.6</v>
      </c>
      <c r="S137" s="12" t="n">
        <v>46268</v>
      </c>
      <c r="T137" s="12" t="n">
        <v>46259</v>
      </c>
      <c r="U137" t="inlineStr">
        <is>
          <t>Resp 5</t>
        </is>
      </c>
      <c r="V137" t="inlineStr">
        <is>
          <t>archivo_05.csv</t>
        </is>
      </c>
      <c r="W137" s="14" t="n">
        <v>235356</v>
      </c>
      <c r="X137" s="14" t="n">
        <v>0</v>
      </c>
      <c r="Y137" s="14" t="n">
        <v>235356</v>
      </c>
      <c r="Z137" s="14" t="n">
        <v>129445.8</v>
      </c>
      <c r="AA137" s="14" t="n">
        <v>105910.2</v>
      </c>
      <c r="AB137" s="15" t="n">
        <v>0.45</v>
      </c>
      <c r="AC137" t="n">
        <v>4</v>
      </c>
      <c r="AD137" t="inlineStr">
        <is>
          <t>PACIFICO|OP-000136|20260821|P-100</t>
        </is>
      </c>
      <c r="AE137" t="n">
        <v>1</v>
      </c>
    </row>
    <row r="138">
      <c r="A138" t="n">
        <v>137</v>
      </c>
      <c r="B138" t="inlineStr">
        <is>
          <t>OP-000137</t>
        </is>
      </c>
      <c r="C138" s="12" t="n">
        <v>46262</v>
      </c>
      <c r="D138" s="13" t="n">
        <v>0.5173611111111112</v>
      </c>
      <c r="E138" t="inlineStr">
        <is>
          <t>C-0033</t>
        </is>
      </c>
      <c r="F138" t="inlineStr">
        <is>
          <t>Cliente 33</t>
        </is>
      </c>
      <c r="G138" t="inlineStr">
        <is>
          <t>P-200</t>
        </is>
      </c>
      <c r="H138" t="inlineStr">
        <is>
          <t>Teclado</t>
        </is>
      </c>
      <c r="I138" t="inlineStr">
        <is>
          <t>Tecnologia</t>
        </is>
      </c>
      <c r="J138" t="inlineStr">
        <is>
          <t>Norte</t>
        </is>
      </c>
      <c r="K138" t="inlineStr">
        <is>
          <t>SUC-02</t>
        </is>
      </c>
      <c r="L138" t="inlineStr">
        <is>
          <t>Distribuidor</t>
        </is>
      </c>
      <c r="M138" t="inlineStr">
        <is>
          <t>Pendiente</t>
        </is>
      </c>
      <c r="N138" t="inlineStr">
        <is>
          <t>Alta</t>
        </is>
      </c>
      <c r="O138" t="n">
        <v>36</v>
      </c>
      <c r="P138" s="14" t="n">
        <v>7269</v>
      </c>
      <c r="Q138" s="15" t="n">
        <v>0.05</v>
      </c>
      <c r="R138" s="14" t="n">
        <v>4070.64</v>
      </c>
      <c r="S138" s="12" t="n">
        <v>46276</v>
      </c>
      <c r="T138" s="12" t="n">
        <v>46267</v>
      </c>
      <c r="U138" t="inlineStr">
        <is>
          <t>Resp 6</t>
        </is>
      </c>
      <c r="V138" t="inlineStr">
        <is>
          <t>archivo_06.csv</t>
        </is>
      </c>
      <c r="W138" s="14" t="n">
        <v>261684</v>
      </c>
      <c r="X138" s="14" t="n">
        <v>13084.2</v>
      </c>
      <c r="Y138" s="14" t="n">
        <v>248599.8</v>
      </c>
      <c r="Z138" s="14" t="n">
        <v>146543.04</v>
      </c>
      <c r="AA138" s="14" t="n">
        <v>102056.76</v>
      </c>
      <c r="AB138" s="15" t="n">
        <v>0.4105263157894736</v>
      </c>
      <c r="AC138" t="n">
        <v>5</v>
      </c>
      <c r="AD138" t="inlineStr">
        <is>
          <t>NORTE|OP-000137|20260828|P-200</t>
        </is>
      </c>
      <c r="AE138" t="n">
        <v>1</v>
      </c>
    </row>
    <row r="139">
      <c r="A139" t="n">
        <v>138</v>
      </c>
      <c r="B139" t="inlineStr">
        <is>
          <t>OP-000138</t>
        </is>
      </c>
      <c r="C139" s="12" t="n">
        <v>46029</v>
      </c>
      <c r="D139" s="13" t="n">
        <v>0.5625</v>
      </c>
      <c r="E139" t="inlineStr">
        <is>
          <t>C-0034</t>
        </is>
      </c>
      <c r="F139" t="inlineStr">
        <is>
          <t>Cliente 34</t>
        </is>
      </c>
      <c r="G139" t="inlineStr">
        <is>
          <t>P-300</t>
        </is>
      </c>
      <c r="H139" t="inlineStr">
        <is>
          <t>Mouse</t>
        </is>
      </c>
      <c r="I139" t="inlineStr">
        <is>
          <t>Tecnologia</t>
        </is>
      </c>
      <c r="J139" t="inlineStr">
        <is>
          <t>Centro</t>
        </is>
      </c>
      <c r="K139" t="inlineStr">
        <is>
          <t>SUC-03</t>
        </is>
      </c>
      <c r="L139" t="inlineStr">
        <is>
          <t>Digital</t>
        </is>
      </c>
      <c r="M139" t="inlineStr">
        <is>
          <t>Cancelado</t>
        </is>
      </c>
      <c r="N139" t="inlineStr">
        <is>
          <t>Media</t>
        </is>
      </c>
      <c r="O139" t="n">
        <v>39</v>
      </c>
      <c r="P139" s="14" t="n">
        <v>7406</v>
      </c>
      <c r="Q139" s="15" t="n">
        <v>0.1</v>
      </c>
      <c r="R139" s="14" t="n">
        <v>4221.42</v>
      </c>
      <c r="S139" s="12" t="n">
        <v>46044</v>
      </c>
      <c r="T139" s="12" t="n">
        <v>46035</v>
      </c>
      <c r="U139" t="inlineStr">
        <is>
          <t>Resp 7</t>
        </is>
      </c>
      <c r="V139" t="inlineStr">
        <is>
          <t>archivo_01.csv</t>
        </is>
      </c>
      <c r="W139" s="14" t="n">
        <v>288834</v>
      </c>
      <c r="X139" s="14" t="n">
        <v>28883.4</v>
      </c>
      <c r="Y139" s="14" t="n">
        <v>259950.6</v>
      </c>
      <c r="Z139" s="14" t="n">
        <v>164635.38</v>
      </c>
      <c r="AA139" s="14" t="n">
        <v>95315.22</v>
      </c>
      <c r="AB139" s="15" t="n">
        <v>0.3666666666666666</v>
      </c>
      <c r="AC139" t="n">
        <v>6</v>
      </c>
      <c r="AD139" t="inlineStr">
        <is>
          <t>CENTRO|OP-000138|20260107|P-300</t>
        </is>
      </c>
      <c r="AE139" t="n">
        <v>1</v>
      </c>
    </row>
    <row r="140">
      <c r="A140" t="n">
        <v>139</v>
      </c>
      <c r="B140" t="inlineStr">
        <is>
          <t>OP-000139</t>
        </is>
      </c>
      <c r="C140" s="12" t="n">
        <v>46036</v>
      </c>
      <c r="D140" s="13" t="n">
        <v>0.6076388888888888</v>
      </c>
      <c r="E140" t="inlineStr">
        <is>
          <t>C-0035</t>
        </is>
      </c>
      <c r="F140" t="inlineStr">
        <is>
          <t>Cliente 35</t>
        </is>
      </c>
      <c r="G140" t="inlineStr">
        <is>
          <t>P-400</t>
        </is>
      </c>
      <c r="H140" t="inlineStr">
        <is>
          <t>Laptop</t>
        </is>
      </c>
      <c r="I140" t="inlineStr">
        <is>
          <t>Tecnologia</t>
        </is>
      </c>
      <c r="J140" t="inlineStr">
        <is>
          <t>Sur</t>
        </is>
      </c>
      <c r="K140" t="inlineStr">
        <is>
          <t>SUC-04</t>
        </is>
      </c>
      <c r="L140" t="inlineStr">
        <is>
          <t>Tienda</t>
        </is>
      </c>
      <c r="M140" t="inlineStr">
        <is>
          <t>En revision</t>
        </is>
      </c>
      <c r="N140" t="inlineStr">
        <is>
          <t>Baja</t>
        </is>
      </c>
      <c r="O140" t="n">
        <v>42</v>
      </c>
      <c r="P140" s="14" t="n">
        <v>7543</v>
      </c>
      <c r="Q140" s="15" t="n">
        <v>0.15</v>
      </c>
      <c r="R140" s="14" t="n">
        <v>4374.94</v>
      </c>
      <c r="S140" s="12" t="n">
        <v>46052</v>
      </c>
      <c r="T140" s="12" t="n">
        <v>46043</v>
      </c>
      <c r="U140" t="inlineStr">
        <is>
          <t>Resp 8</t>
        </is>
      </c>
      <c r="V140" t="inlineStr">
        <is>
          <t>archivo_02.csv</t>
        </is>
      </c>
      <c r="W140" s="14" t="n">
        <v>316806</v>
      </c>
      <c r="X140" s="14" t="n">
        <v>47520.9</v>
      </c>
      <c r="Y140" s="14" t="n">
        <v>269285.1</v>
      </c>
      <c r="Z140" s="14" t="n">
        <v>183747.48</v>
      </c>
      <c r="AA140" s="14" t="n">
        <v>85537.62</v>
      </c>
      <c r="AB140" s="15" t="n">
        <v>0.3176470588235294</v>
      </c>
      <c r="AC140" t="n">
        <v>7</v>
      </c>
      <c r="AD140" t="inlineStr">
        <is>
          <t>SUR|OP-000139|20260114|P-400</t>
        </is>
      </c>
      <c r="AE140" t="n">
        <v>1</v>
      </c>
    </row>
    <row r="141">
      <c r="A141" t="n">
        <v>140</v>
      </c>
      <c r="B141" t="inlineStr">
        <is>
          <t>OP-000140</t>
        </is>
      </c>
      <c r="C141" s="12" t="n">
        <v>46043</v>
      </c>
      <c r="D141" s="13" t="n">
        <v>0.6527777777777778</v>
      </c>
      <c r="E141" t="inlineStr">
        <is>
          <t>C-0001</t>
        </is>
      </c>
      <c r="F141" t="inlineStr">
        <is>
          <t>Cliente 1</t>
        </is>
      </c>
      <c r="G141" t="inlineStr">
        <is>
          <t>P-500</t>
        </is>
      </c>
      <c r="H141" t="inlineStr">
        <is>
          <t>Dock</t>
        </is>
      </c>
      <c r="I141" t="inlineStr">
        <is>
          <t>Tecnologia</t>
        </is>
      </c>
      <c r="J141" t="inlineStr">
        <is>
          <t>Pacifico</t>
        </is>
      </c>
      <c r="K141" t="inlineStr">
        <is>
          <t>SUC-05</t>
        </is>
      </c>
      <c r="L141" t="inlineStr">
        <is>
          <t>Distribuidor</t>
        </is>
      </c>
      <c r="M141" t="inlineStr">
        <is>
          <t>Aprobado</t>
        </is>
      </c>
      <c r="N141" t="inlineStr">
        <is>
          <t>Critica</t>
        </is>
      </c>
      <c r="O141" t="n">
        <v>45</v>
      </c>
      <c r="P141" s="14" t="n">
        <v>7680</v>
      </c>
      <c r="Q141" s="15" t="n">
        <v>0</v>
      </c>
      <c r="R141" s="14" t="n">
        <v>4531.2</v>
      </c>
      <c r="S141" s="12" t="n">
        <v>46050</v>
      </c>
      <c r="T141" s="12" t="n">
        <v>46051</v>
      </c>
      <c r="U141" t="inlineStr">
        <is>
          <t>Resp 9</t>
        </is>
      </c>
      <c r="V141" t="inlineStr">
        <is>
          <t>archivo_03.csv</t>
        </is>
      </c>
      <c r="W141" s="14" t="n">
        <v>345600</v>
      </c>
      <c r="X141" s="14" t="n">
        <v>0</v>
      </c>
      <c r="Y141" s="14" t="n">
        <v>345600</v>
      </c>
      <c r="Z141" s="14" t="n">
        <v>203904</v>
      </c>
      <c r="AA141" s="14" t="n">
        <v>141696</v>
      </c>
      <c r="AB141" s="15" t="n">
        <v>0.41</v>
      </c>
      <c r="AC141" t="n">
        <v>8</v>
      </c>
      <c r="AD141" t="inlineStr">
        <is>
          <t>PACIFICO|OP-000140|20260121|P-500</t>
        </is>
      </c>
      <c r="AE141" t="n">
        <v>1</v>
      </c>
    </row>
    <row r="142">
      <c r="A142" t="n">
        <v>141</v>
      </c>
      <c r="B142" t="inlineStr">
        <is>
          <t>OP-000141</t>
        </is>
      </c>
      <c r="C142" s="12" t="n">
        <v>46050</v>
      </c>
      <c r="D142" s="13" t="n">
        <v>0.6979166666666666</v>
      </c>
      <c r="E142" t="inlineStr">
        <is>
          <t>C-0002</t>
        </is>
      </c>
      <c r="F142" t="inlineStr">
        <is>
          <t>Cliente 2</t>
        </is>
      </c>
      <c r="G142" t="inlineStr">
        <is>
          <t>P-100</t>
        </is>
      </c>
      <c r="H142" t="inlineStr">
        <is>
          <t>Monitor 24</t>
        </is>
      </c>
      <c r="I142" t="inlineStr">
        <is>
          <t>Tecnologia</t>
        </is>
      </c>
      <c r="J142" t="inlineStr">
        <is>
          <t>Norte</t>
        </is>
      </c>
      <c r="K142" t="inlineStr">
        <is>
          <t>SUC-06</t>
        </is>
      </c>
      <c r="L142" t="inlineStr">
        <is>
          <t>Digital</t>
        </is>
      </c>
      <c r="M142" t="inlineStr">
        <is>
          <t>Pendiente</t>
        </is>
      </c>
      <c r="N142" t="inlineStr">
        <is>
          <t>Alta</t>
        </is>
      </c>
      <c r="O142" t="n">
        <v>1</v>
      </c>
      <c r="P142" s="14" t="n">
        <v>7817</v>
      </c>
      <c r="Q142" s="15" t="n">
        <v>0.05</v>
      </c>
      <c r="R142" s="14" t="n">
        <v>4690.2</v>
      </c>
      <c r="S142" s="12" t="n">
        <v>46058</v>
      </c>
      <c r="T142" s="12" t="n">
        <v>46059</v>
      </c>
      <c r="U142" t="inlineStr">
        <is>
          <t>Resp 10</t>
        </is>
      </c>
      <c r="V142" t="inlineStr">
        <is>
          <t>archivo_04.csv</t>
        </is>
      </c>
      <c r="W142" s="14" t="n">
        <v>7817</v>
      </c>
      <c r="X142" s="14" t="n">
        <v>390.85</v>
      </c>
      <c r="Y142" s="14" t="n">
        <v>7426.15</v>
      </c>
      <c r="Z142" s="14" t="n">
        <v>4690.2</v>
      </c>
      <c r="AA142" s="14" t="n">
        <v>2735.95</v>
      </c>
      <c r="AB142" s="15" t="n">
        <v>0.3684210526315789</v>
      </c>
      <c r="AC142" t="n">
        <v>9</v>
      </c>
      <c r="AD142" t="inlineStr">
        <is>
          <t>NORTE|OP-000141|20260128|P-100</t>
        </is>
      </c>
      <c r="AE142" t="n">
        <v>1</v>
      </c>
    </row>
    <row r="143">
      <c r="A143" t="n">
        <v>142</v>
      </c>
      <c r="B143" t="inlineStr">
        <is>
          <t>OP-000142</t>
        </is>
      </c>
      <c r="C143" s="12" t="n">
        <v>46057</v>
      </c>
      <c r="D143" s="13" t="n">
        <v>0.7430555555555556</v>
      </c>
      <c r="E143" t="inlineStr">
        <is>
          <t>C-0003</t>
        </is>
      </c>
      <c r="F143" t="inlineStr">
        <is>
          <t>Cliente 3</t>
        </is>
      </c>
      <c r="G143" t="inlineStr">
        <is>
          <t>P-200</t>
        </is>
      </c>
      <c r="H143" t="inlineStr">
        <is>
          <t>Teclado</t>
        </is>
      </c>
      <c r="I143" t="inlineStr">
        <is>
          <t>Tecnologia</t>
        </is>
      </c>
      <c r="J143" t="inlineStr">
        <is>
          <t>Centro</t>
        </is>
      </c>
      <c r="K143" t="inlineStr">
        <is>
          <t>SUC-07</t>
        </is>
      </c>
      <c r="L143" t="inlineStr">
        <is>
          <t>Tienda</t>
        </is>
      </c>
      <c r="M143" t="inlineStr">
        <is>
          <t>Cancelado</t>
        </is>
      </c>
      <c r="N143" t="inlineStr">
        <is>
          <t>Media</t>
        </is>
      </c>
      <c r="O143" t="n">
        <v>4</v>
      </c>
      <c r="P143" s="14" t="n">
        <v>7954</v>
      </c>
      <c r="Q143" s="15" t="n">
        <v>0.1</v>
      </c>
      <c r="R143" s="14" t="n">
        <v>4851.94</v>
      </c>
      <c r="S143" s="12" t="n">
        <v>46066</v>
      </c>
      <c r="T143" s="12" t="n">
        <v>46067</v>
      </c>
      <c r="U143" t="inlineStr">
        <is>
          <t>Resp 11</t>
        </is>
      </c>
      <c r="V143" t="inlineStr">
        <is>
          <t>archivo_05.csv</t>
        </is>
      </c>
      <c r="W143" s="14" t="n">
        <v>31816</v>
      </c>
      <c r="X143" s="14" t="n">
        <v>3181.6</v>
      </c>
      <c r="Y143" s="14" t="n">
        <v>28634.4</v>
      </c>
      <c r="Z143" s="14" t="n">
        <v>19407.76</v>
      </c>
      <c r="AA143" s="14" t="n">
        <v>9226.640000000003</v>
      </c>
      <c r="AB143" s="15" t="n">
        <v>0.3222222222222223</v>
      </c>
      <c r="AC143" t="n">
        <v>10</v>
      </c>
      <c r="AD143" t="inlineStr">
        <is>
          <t>CENTRO|OP-000142|20260204|P-200</t>
        </is>
      </c>
      <c r="AE143" t="n">
        <v>1</v>
      </c>
    </row>
    <row r="144">
      <c r="A144" t="n">
        <v>143</v>
      </c>
      <c r="B144" t="inlineStr">
        <is>
          <t>OP-000143</t>
        </is>
      </c>
      <c r="C144" s="12" t="n">
        <v>46064</v>
      </c>
      <c r="D144" s="13" t="n">
        <v>0.7881944444444444</v>
      </c>
      <c r="E144" t="inlineStr">
        <is>
          <t>C-0004</t>
        </is>
      </c>
      <c r="F144" t="inlineStr">
        <is>
          <t>Cliente 4</t>
        </is>
      </c>
      <c r="G144" t="inlineStr">
        <is>
          <t>P-300</t>
        </is>
      </c>
      <c r="H144" t="inlineStr">
        <is>
          <t>Mouse</t>
        </is>
      </c>
      <c r="I144" t="inlineStr">
        <is>
          <t>Tecnologia</t>
        </is>
      </c>
      <c r="J144" t="inlineStr">
        <is>
          <t>Sur</t>
        </is>
      </c>
      <c r="K144" t="inlineStr">
        <is>
          <t>SUC-08</t>
        </is>
      </c>
      <c r="L144" t="inlineStr">
        <is>
          <t>Distribuidor</t>
        </is>
      </c>
      <c r="M144" t="inlineStr">
        <is>
          <t>En revision</t>
        </is>
      </c>
      <c r="N144" t="inlineStr">
        <is>
          <t>Baja</t>
        </is>
      </c>
      <c r="O144" t="n">
        <v>7</v>
      </c>
      <c r="P144" s="14" t="n">
        <v>8091</v>
      </c>
      <c r="Q144" s="15" t="n">
        <v>0.15</v>
      </c>
      <c r="R144" s="14" t="n">
        <v>5016.42</v>
      </c>
      <c r="S144" s="12" t="n">
        <v>46074</v>
      </c>
      <c r="T144" s="12" t="n">
        <v>46075</v>
      </c>
      <c r="U144" t="inlineStr">
        <is>
          <t>Resp 12</t>
        </is>
      </c>
      <c r="V144" t="inlineStr">
        <is>
          <t>archivo_06.csv</t>
        </is>
      </c>
      <c r="W144" s="14" t="n">
        <v>56637</v>
      </c>
      <c r="X144" s="14" t="n">
        <v>8495.549999999999</v>
      </c>
      <c r="Y144" s="14" t="n">
        <v>48141.45</v>
      </c>
      <c r="Z144" s="14" t="n">
        <v>35114.94</v>
      </c>
      <c r="AA144" s="14" t="n">
        <v>13026.50999999999</v>
      </c>
      <c r="AB144" s="15" t="n">
        <v>0.2705882352941176</v>
      </c>
      <c r="AC144" t="n">
        <v>11</v>
      </c>
      <c r="AD144" t="inlineStr">
        <is>
          <t>SUR|OP-000143|20260211|P-300</t>
        </is>
      </c>
      <c r="AE144" t="n">
        <v>1</v>
      </c>
    </row>
    <row r="145">
      <c r="A145" t="n">
        <v>144</v>
      </c>
      <c r="B145" t="inlineStr">
        <is>
          <t>OP-000144</t>
        </is>
      </c>
      <c r="C145" s="12" t="n">
        <v>46071</v>
      </c>
      <c r="D145" s="13" t="n">
        <v>0.2916666666666667</v>
      </c>
      <c r="E145" t="inlineStr">
        <is>
          <t>C-0005</t>
        </is>
      </c>
      <c r="F145" t="inlineStr">
        <is>
          <t>Cliente 5</t>
        </is>
      </c>
      <c r="G145" t="inlineStr">
        <is>
          <t>P-400</t>
        </is>
      </c>
      <c r="H145" t="inlineStr">
        <is>
          <t>Laptop</t>
        </is>
      </c>
      <c r="I145" t="inlineStr">
        <is>
          <t>Tecnologia</t>
        </is>
      </c>
      <c r="J145" t="inlineStr">
        <is>
          <t>Pacifico</t>
        </is>
      </c>
      <c r="K145" t="inlineStr">
        <is>
          <t>SUC-01</t>
        </is>
      </c>
      <c r="L145" t="inlineStr">
        <is>
          <t>Digital</t>
        </is>
      </c>
      <c r="M145" t="inlineStr">
        <is>
          <t>Aprobado</t>
        </is>
      </c>
      <c r="N145" t="inlineStr">
        <is>
          <t>Critica</t>
        </is>
      </c>
      <c r="O145" t="n">
        <v>10</v>
      </c>
      <c r="P145" s="14" t="n">
        <v>8228</v>
      </c>
      <c r="Q145" s="15" t="n">
        <v>0</v>
      </c>
      <c r="R145" s="14" t="n">
        <v>4525.4</v>
      </c>
      <c r="S145" s="12" t="n">
        <v>46082</v>
      </c>
      <c r="T145" s="12" t="n">
        <v>46083</v>
      </c>
      <c r="U145" t="inlineStr">
        <is>
          <t>Resp 1</t>
        </is>
      </c>
      <c r="V145" t="inlineStr">
        <is>
          <t>archivo_01.csv</t>
        </is>
      </c>
      <c r="W145" s="14" t="n">
        <v>82280</v>
      </c>
      <c r="X145" s="14" t="n">
        <v>0</v>
      </c>
      <c r="Y145" s="14" t="n">
        <v>82280</v>
      </c>
      <c r="Z145" s="14" t="n">
        <v>45254</v>
      </c>
      <c r="AA145" s="14" t="n">
        <v>37026</v>
      </c>
      <c r="AB145" s="15" t="n">
        <v>0.45</v>
      </c>
      <c r="AC145" t="n">
        <v>12</v>
      </c>
      <c r="AD145" t="inlineStr">
        <is>
          <t>PACIFICO|OP-000144|20260218|P-400</t>
        </is>
      </c>
      <c r="AE145" t="n">
        <v>1</v>
      </c>
    </row>
    <row r="146">
      <c r="A146" t="n">
        <v>145</v>
      </c>
      <c r="B146" t="inlineStr">
        <is>
          <t>OP-000145</t>
        </is>
      </c>
      <c r="C146" s="12" t="n">
        <v>46078</v>
      </c>
      <c r="D146" s="13" t="n">
        <v>0.3368055555555556</v>
      </c>
      <c r="E146" t="inlineStr">
        <is>
          <t>C-0006</t>
        </is>
      </c>
      <c r="F146" t="inlineStr">
        <is>
          <t>Cliente 6</t>
        </is>
      </c>
      <c r="G146" t="inlineStr">
        <is>
          <t>P-500</t>
        </is>
      </c>
      <c r="H146" t="inlineStr">
        <is>
          <t>Dock</t>
        </is>
      </c>
      <c r="I146" t="inlineStr">
        <is>
          <t>Tecnologia</t>
        </is>
      </c>
      <c r="J146" t="inlineStr">
        <is>
          <t>Norte</t>
        </is>
      </c>
      <c r="K146" t="inlineStr">
        <is>
          <t>SUC-02</t>
        </is>
      </c>
      <c r="L146" t="inlineStr">
        <is>
          <t>Tienda</t>
        </is>
      </c>
      <c r="M146" t="inlineStr">
        <is>
          <t>Pendiente</t>
        </is>
      </c>
      <c r="N146" t="inlineStr">
        <is>
          <t>Alta</t>
        </is>
      </c>
      <c r="O146" t="n">
        <v>13</v>
      </c>
      <c r="P146" s="14" t="n">
        <v>8365</v>
      </c>
      <c r="Q146" s="15" t="n">
        <v>0.05</v>
      </c>
      <c r="R146" s="14" t="n">
        <v>4684.4</v>
      </c>
      <c r="S146" s="12" t="n">
        <v>46090</v>
      </c>
      <c r="T146" s="12" t="n">
        <v>46091</v>
      </c>
      <c r="U146" t="inlineStr">
        <is>
          <t>Resp 2</t>
        </is>
      </c>
      <c r="V146" t="inlineStr">
        <is>
          <t>archivo_02.csv</t>
        </is>
      </c>
      <c r="W146" s="14" t="n">
        <v>108745</v>
      </c>
      <c r="X146" s="14" t="n">
        <v>5437.25</v>
      </c>
      <c r="Y146" s="14" t="n">
        <v>103307.75</v>
      </c>
      <c r="Z146" s="14" t="n">
        <v>60897.2</v>
      </c>
      <c r="AA146" s="14" t="n">
        <v>42410.55</v>
      </c>
      <c r="AB146" s="15" t="n">
        <v>0.4105263157894737</v>
      </c>
      <c r="AC146" t="n">
        <v>13</v>
      </c>
      <c r="AD146" t="inlineStr">
        <is>
          <t>NORTE|OP-000145|20260225|P-500</t>
        </is>
      </c>
      <c r="AE146" t="n">
        <v>1</v>
      </c>
    </row>
    <row r="147">
      <c r="A147" t="n">
        <v>146</v>
      </c>
      <c r="B147" t="inlineStr">
        <is>
          <t>OP-000146</t>
        </is>
      </c>
      <c r="C147" s="12" t="n">
        <v>46085</v>
      </c>
      <c r="D147" s="13" t="n">
        <v>0.3819444444444444</v>
      </c>
      <c r="E147" t="inlineStr">
        <is>
          <t>C-0007</t>
        </is>
      </c>
      <c r="F147" t="inlineStr">
        <is>
          <t>Cliente 7</t>
        </is>
      </c>
      <c r="G147" t="inlineStr">
        <is>
          <t>P-100</t>
        </is>
      </c>
      <c r="H147" t="inlineStr">
        <is>
          <t>Monitor 24</t>
        </is>
      </c>
      <c r="I147" t="inlineStr">
        <is>
          <t>Tecnologia</t>
        </is>
      </c>
      <c r="J147" t="inlineStr">
        <is>
          <t>Centro</t>
        </is>
      </c>
      <c r="K147" t="inlineStr">
        <is>
          <t>SUC-03</t>
        </is>
      </c>
      <c r="L147" t="inlineStr">
        <is>
          <t>Distribuidor</t>
        </is>
      </c>
      <c r="M147" t="inlineStr">
        <is>
          <t>Cancelado</t>
        </is>
      </c>
      <c r="N147" t="inlineStr">
        <is>
          <t>Media</t>
        </is>
      </c>
      <c r="O147" t="n">
        <v>16</v>
      </c>
      <c r="P147" s="14" t="n">
        <v>8502</v>
      </c>
      <c r="Q147" s="15" t="n">
        <v>0.1</v>
      </c>
      <c r="R147" s="14" t="n">
        <v>4846.14</v>
      </c>
      <c r="S147" s="12" t="n">
        <v>46098</v>
      </c>
      <c r="T147" s="12" t="n">
        <v>46099</v>
      </c>
      <c r="U147" t="inlineStr">
        <is>
          <t>Resp 3</t>
        </is>
      </c>
      <c r="V147" t="inlineStr">
        <is>
          <t>archivo_03.csv</t>
        </is>
      </c>
      <c r="W147" s="14" t="n">
        <v>136032</v>
      </c>
      <c r="X147" s="14" t="n">
        <v>13603.2</v>
      </c>
      <c r="Y147" s="14" t="n">
        <v>122428.8</v>
      </c>
      <c r="Z147" s="14" t="n">
        <v>77538.24000000001</v>
      </c>
      <c r="AA147" s="14" t="n">
        <v>44890.56</v>
      </c>
      <c r="AB147" s="15" t="n">
        <v>0.3666666666666666</v>
      </c>
      <c r="AC147" t="n">
        <v>14</v>
      </c>
      <c r="AD147" t="inlineStr">
        <is>
          <t>CENTRO|OP-000146|20260304|P-100</t>
        </is>
      </c>
      <c r="AE147" t="n">
        <v>1</v>
      </c>
    </row>
    <row r="148">
      <c r="A148" t="n">
        <v>147</v>
      </c>
      <c r="B148" t="inlineStr">
        <is>
          <t>OP-000147</t>
        </is>
      </c>
      <c r="C148" s="12" t="n">
        <v>46092</v>
      </c>
      <c r="D148" s="13" t="n">
        <v>0.4270833333333333</v>
      </c>
      <c r="E148" t="inlineStr">
        <is>
          <t>C-0008</t>
        </is>
      </c>
      <c r="F148" t="inlineStr">
        <is>
          <t>Cliente 8</t>
        </is>
      </c>
      <c r="G148" t="inlineStr">
        <is>
          <t>P-200</t>
        </is>
      </c>
      <c r="H148" t="inlineStr">
        <is>
          <t>Teclado</t>
        </is>
      </c>
      <c r="I148" t="inlineStr">
        <is>
          <t>Tecnologia</t>
        </is>
      </c>
      <c r="J148" t="inlineStr">
        <is>
          <t>Sur</t>
        </is>
      </c>
      <c r="K148" t="inlineStr">
        <is>
          <t>SUC-04</t>
        </is>
      </c>
      <c r="L148" t="inlineStr">
        <is>
          <t>Digital</t>
        </is>
      </c>
      <c r="M148" t="inlineStr">
        <is>
          <t>En revision</t>
        </is>
      </c>
      <c r="N148" t="inlineStr">
        <is>
          <t>Baja</t>
        </is>
      </c>
      <c r="O148" t="n">
        <v>19</v>
      </c>
      <c r="P148" s="14" t="n">
        <v>8639</v>
      </c>
      <c r="Q148" s="15" t="n">
        <v>0.15</v>
      </c>
      <c r="R148" s="14" t="n">
        <v>5010.62</v>
      </c>
      <c r="S148" s="12" t="n">
        <v>46106</v>
      </c>
      <c r="T148" s="12" t="n">
        <v>46107</v>
      </c>
      <c r="U148" t="inlineStr">
        <is>
          <t>Resp 4</t>
        </is>
      </c>
      <c r="V148" t="inlineStr">
        <is>
          <t>archivo_04.csv</t>
        </is>
      </c>
      <c r="W148" s="14" t="n">
        <v>164141</v>
      </c>
      <c r="X148" s="14" t="n">
        <v>24621.15</v>
      </c>
      <c r="Y148" s="14" t="n">
        <v>139519.85</v>
      </c>
      <c r="Z148" s="14" t="n">
        <v>95201.78</v>
      </c>
      <c r="AA148" s="14" t="n">
        <v>44318.07000000001</v>
      </c>
      <c r="AB148" s="15" t="n">
        <v>0.3176470588235294</v>
      </c>
      <c r="AC148" t="n">
        <v>15</v>
      </c>
      <c r="AD148" t="inlineStr">
        <is>
          <t>SUR|OP-000147|20260311|P-200</t>
        </is>
      </c>
      <c r="AE148" t="n">
        <v>1</v>
      </c>
    </row>
    <row r="149">
      <c r="A149" t="n">
        <v>148</v>
      </c>
      <c r="B149" t="inlineStr">
        <is>
          <t>OP-000148</t>
        </is>
      </c>
      <c r="C149" s="12" t="n">
        <v>46099</v>
      </c>
      <c r="D149" s="13" t="n">
        <v>0.4722222222222222</v>
      </c>
      <c r="E149" t="inlineStr">
        <is>
          <t>C-0009</t>
        </is>
      </c>
      <c r="F149" t="inlineStr">
        <is>
          <t>Cliente 9</t>
        </is>
      </c>
      <c r="G149" t="inlineStr">
        <is>
          <t>P-300</t>
        </is>
      </c>
      <c r="H149" t="inlineStr">
        <is>
          <t>Mouse</t>
        </is>
      </c>
      <c r="I149" t="inlineStr">
        <is>
          <t>Tecnologia</t>
        </is>
      </c>
      <c r="J149" t="inlineStr">
        <is>
          <t>Pacifico</t>
        </is>
      </c>
      <c r="K149" t="inlineStr">
        <is>
          <t>SUC-05</t>
        </is>
      </c>
      <c r="L149" t="inlineStr">
        <is>
          <t>Tienda</t>
        </is>
      </c>
      <c r="M149" t="inlineStr">
        <is>
          <t>Aprobado</t>
        </is>
      </c>
      <c r="N149" t="inlineStr">
        <is>
          <t>Critica</t>
        </is>
      </c>
      <c r="O149" t="n">
        <v>22</v>
      </c>
      <c r="P149" s="14" t="n">
        <v>8776</v>
      </c>
      <c r="Q149" s="15" t="n">
        <v>0</v>
      </c>
      <c r="R149" s="14" t="n">
        <v>5177.84</v>
      </c>
      <c r="S149" s="12" t="n">
        <v>46114</v>
      </c>
      <c r="T149" s="12" t="n">
        <v>46115</v>
      </c>
      <c r="U149" t="inlineStr">
        <is>
          <t>Resp 5</t>
        </is>
      </c>
      <c r="V149" t="inlineStr">
        <is>
          <t>archivo_05.csv</t>
        </is>
      </c>
      <c r="W149" s="14" t="n">
        <v>193072</v>
      </c>
      <c r="X149" s="14" t="n">
        <v>0</v>
      </c>
      <c r="Y149" s="14" t="n">
        <v>193072</v>
      </c>
      <c r="Z149" s="14" t="n">
        <v>113912.48</v>
      </c>
      <c r="AA149" s="14" t="n">
        <v>79159.51999999999</v>
      </c>
      <c r="AB149" s="15" t="n">
        <v>0.4099999999999999</v>
      </c>
      <c r="AC149" t="n">
        <v>16</v>
      </c>
      <c r="AD149" t="inlineStr">
        <is>
          <t>PACIFICO|OP-000148|20260318|P-300</t>
        </is>
      </c>
      <c r="AE149" t="n">
        <v>1</v>
      </c>
    </row>
    <row r="150">
      <c r="A150" t="n">
        <v>149</v>
      </c>
      <c r="B150" t="inlineStr">
        <is>
          <t>OP-000149</t>
        </is>
      </c>
      <c r="C150" s="12" t="n">
        <v>46106</v>
      </c>
      <c r="D150" s="13" t="n">
        <v>0.5173611111111112</v>
      </c>
      <c r="E150" t="inlineStr">
        <is>
          <t>C-0010</t>
        </is>
      </c>
      <c r="F150" t="inlineStr">
        <is>
          <t>Cliente 10</t>
        </is>
      </c>
      <c r="G150" t="inlineStr">
        <is>
          <t>P-400</t>
        </is>
      </c>
      <c r="H150" t="inlineStr">
        <is>
          <t>Laptop</t>
        </is>
      </c>
      <c r="I150" t="inlineStr">
        <is>
          <t>Tecnologia</t>
        </is>
      </c>
      <c r="J150" t="inlineStr">
        <is>
          <t>Norte</t>
        </is>
      </c>
      <c r="K150" t="inlineStr">
        <is>
          <t>SUC-06</t>
        </is>
      </c>
      <c r="L150" t="inlineStr">
        <is>
          <t>Distribuidor</t>
        </is>
      </c>
      <c r="M150" t="inlineStr">
        <is>
          <t>Pendiente</t>
        </is>
      </c>
      <c r="N150" t="inlineStr">
        <is>
          <t>Alta</t>
        </is>
      </c>
      <c r="O150" t="n">
        <v>25</v>
      </c>
      <c r="P150" s="14" t="n">
        <v>8913</v>
      </c>
      <c r="Q150" s="15" t="n">
        <v>0.05</v>
      </c>
      <c r="R150" s="14" t="n">
        <v>5347.8</v>
      </c>
      <c r="S150" s="12" t="n">
        <v>46122</v>
      </c>
      <c r="T150" s="12" t="n">
        <v>46123</v>
      </c>
      <c r="U150" t="inlineStr">
        <is>
          <t>Resp 6</t>
        </is>
      </c>
      <c r="V150" t="inlineStr">
        <is>
          <t>archivo_06.csv</t>
        </is>
      </c>
      <c r="W150" s="14" t="n">
        <v>222825</v>
      </c>
      <c r="X150" s="14" t="n">
        <v>11141.25</v>
      </c>
      <c r="Y150" s="14" t="n">
        <v>211683.75</v>
      </c>
      <c r="Z150" s="14" t="n">
        <v>133695</v>
      </c>
      <c r="AA150" s="14" t="n">
        <v>77988.75</v>
      </c>
      <c r="AB150" s="15" t="n">
        <v>0.3684210526315789</v>
      </c>
      <c r="AC150" t="n">
        <v>17</v>
      </c>
      <c r="AD150" t="inlineStr">
        <is>
          <t>NORTE|OP-000149|20260325|P-400</t>
        </is>
      </c>
      <c r="AE150" t="n">
        <v>1</v>
      </c>
    </row>
    <row r="151">
      <c r="A151" t="n">
        <v>150</v>
      </c>
      <c r="B151" t="inlineStr">
        <is>
          <t>OP-000150</t>
        </is>
      </c>
      <c r="C151" s="12" t="n">
        <v>46113</v>
      </c>
      <c r="D151" s="13" t="n">
        <v>0.5625</v>
      </c>
      <c r="E151" t="inlineStr">
        <is>
          <t>C-0011</t>
        </is>
      </c>
      <c r="F151" t="inlineStr">
        <is>
          <t>Cliente 11</t>
        </is>
      </c>
      <c r="G151" t="inlineStr">
        <is>
          <t>P-500</t>
        </is>
      </c>
      <c r="H151" t="inlineStr">
        <is>
          <t>Dock</t>
        </is>
      </c>
      <c r="I151" t="inlineStr">
        <is>
          <t>Tecnologia</t>
        </is>
      </c>
      <c r="J151" t="inlineStr">
        <is>
          <t>Centro</t>
        </is>
      </c>
      <c r="K151" t="inlineStr">
        <is>
          <t>SUC-07</t>
        </is>
      </c>
      <c r="L151" t="inlineStr">
        <is>
          <t>Digital</t>
        </is>
      </c>
      <c r="M151" t="inlineStr">
        <is>
          <t>Cancelado</t>
        </is>
      </c>
      <c r="N151" t="inlineStr">
        <is>
          <t>Media</t>
        </is>
      </c>
      <c r="O151" t="n">
        <v>28</v>
      </c>
      <c r="P151" s="14" t="n">
        <v>9050</v>
      </c>
      <c r="Q151" s="15" t="n">
        <v>0.1</v>
      </c>
      <c r="R151" s="14" t="n">
        <v>5520.5</v>
      </c>
      <c r="S151" s="12" t="n">
        <v>46120</v>
      </c>
      <c r="T151" s="12" t="n">
        <v>46116</v>
      </c>
      <c r="U151" t="inlineStr">
        <is>
          <t>Resp 7</t>
        </is>
      </c>
      <c r="V151" t="inlineStr">
        <is>
          <t>archivo_01.csv</t>
        </is>
      </c>
      <c r="W151" s="14" t="n">
        <v>253400</v>
      </c>
      <c r="X151" s="14" t="n">
        <v>25340</v>
      </c>
      <c r="Y151" s="14" t="n">
        <v>228060</v>
      </c>
      <c r="Z151" s="14" t="n">
        <v>154574</v>
      </c>
      <c r="AA151" s="14" t="n">
        <v>73486</v>
      </c>
      <c r="AB151" s="15" t="n">
        <v>0.3222222222222222</v>
      </c>
      <c r="AC151" t="n">
        <v>3</v>
      </c>
      <c r="AD151" t="inlineStr">
        <is>
          <t>CENTRO|OP-000150|20260401|P-500</t>
        </is>
      </c>
      <c r="AE151" t="n">
        <v>1</v>
      </c>
    </row>
    <row r="152">
      <c r="A152" t="n">
        <v>151</v>
      </c>
      <c r="B152" t="inlineStr">
        <is>
          <t>OP-000151</t>
        </is>
      </c>
      <c r="C152" s="12" t="n">
        <v>46120</v>
      </c>
      <c r="D152" s="13" t="n">
        <v>0.6076388888888888</v>
      </c>
      <c r="E152" t="inlineStr">
        <is>
          <t>C-0012</t>
        </is>
      </c>
      <c r="F152" t="inlineStr">
        <is>
          <t>Cliente 12</t>
        </is>
      </c>
      <c r="G152" t="inlineStr">
        <is>
          <t>P-100</t>
        </is>
      </c>
      <c r="H152" t="inlineStr">
        <is>
          <t>Monitor 24</t>
        </is>
      </c>
      <c r="I152" t="inlineStr">
        <is>
          <t>Tecnologia</t>
        </is>
      </c>
      <c r="J152" t="inlineStr">
        <is>
          <t>Sur</t>
        </is>
      </c>
      <c r="K152" t="inlineStr">
        <is>
          <t>SUC-08</t>
        </is>
      </c>
      <c r="L152" t="inlineStr">
        <is>
          <t>Tienda</t>
        </is>
      </c>
      <c r="M152" t="inlineStr">
        <is>
          <t>En revision</t>
        </is>
      </c>
      <c r="N152" t="inlineStr">
        <is>
          <t>Baja</t>
        </is>
      </c>
      <c r="O152" t="n">
        <v>31</v>
      </c>
      <c r="P152" s="14" t="n">
        <v>9187</v>
      </c>
      <c r="Q152" s="15" t="n">
        <v>0.15</v>
      </c>
      <c r="R152" s="14" t="n">
        <v>5695.94</v>
      </c>
      <c r="S152" s="12" t="n">
        <v>46128</v>
      </c>
      <c r="T152" s="12" t="n">
        <v>46124</v>
      </c>
      <c r="U152" t="inlineStr">
        <is>
          <t>Resp 8</t>
        </is>
      </c>
      <c r="V152" t="inlineStr">
        <is>
          <t>archivo_02.csv</t>
        </is>
      </c>
      <c r="W152" s="14" t="n">
        <v>284797</v>
      </c>
      <c r="X152" s="14" t="n">
        <v>42719.55</v>
      </c>
      <c r="Y152" s="14" t="n">
        <v>242077.45</v>
      </c>
      <c r="Z152" s="14" t="n">
        <v>176574.14</v>
      </c>
      <c r="AA152" s="14" t="n">
        <v>65503.31000000003</v>
      </c>
      <c r="AB152" s="15" t="n">
        <v>0.2705882352941177</v>
      </c>
      <c r="AC152" t="n">
        <v>4</v>
      </c>
      <c r="AD152" t="inlineStr">
        <is>
          <t>SUR|OP-000151|20260408|P-100</t>
        </is>
      </c>
      <c r="AE152" t="n">
        <v>1</v>
      </c>
    </row>
    <row r="153">
      <c r="A153" t="n">
        <v>152</v>
      </c>
      <c r="B153" t="inlineStr">
        <is>
          <t>OP-000152</t>
        </is>
      </c>
      <c r="C153" s="12" t="n">
        <v>46127</v>
      </c>
      <c r="D153" s="13" t="n">
        <v>0.6527777777777778</v>
      </c>
      <c r="E153" t="inlineStr">
        <is>
          <t>C-0013</t>
        </is>
      </c>
      <c r="F153" t="inlineStr">
        <is>
          <t>Cliente 13</t>
        </is>
      </c>
      <c r="G153" t="inlineStr">
        <is>
          <t>P-200</t>
        </is>
      </c>
      <c r="H153" t="inlineStr">
        <is>
          <t>Teclado</t>
        </is>
      </c>
      <c r="I153" t="inlineStr">
        <is>
          <t>Tecnologia</t>
        </is>
      </c>
      <c r="J153" t="inlineStr">
        <is>
          <t>Pacifico</t>
        </is>
      </c>
      <c r="K153" t="inlineStr">
        <is>
          <t>SUC-01</t>
        </is>
      </c>
      <c r="L153" t="inlineStr">
        <is>
          <t>Distribuidor</t>
        </is>
      </c>
      <c r="M153" t="inlineStr">
        <is>
          <t>Aprobado</t>
        </is>
      </c>
      <c r="N153" t="inlineStr">
        <is>
          <t>Critica</t>
        </is>
      </c>
      <c r="O153" t="n">
        <v>34</v>
      </c>
      <c r="P153" s="14" t="n">
        <v>9324</v>
      </c>
      <c r="Q153" s="15" t="n">
        <v>0</v>
      </c>
      <c r="R153" s="14" t="n">
        <v>5128.2</v>
      </c>
      <c r="S153" s="12" t="n">
        <v>46136</v>
      </c>
      <c r="T153" s="12" t="n">
        <v>46132</v>
      </c>
      <c r="U153" t="inlineStr">
        <is>
          <t>Resp 9</t>
        </is>
      </c>
      <c r="V153" t="inlineStr">
        <is>
          <t>archivo_03.csv</t>
        </is>
      </c>
      <c r="W153" s="14" t="n">
        <v>317016</v>
      </c>
      <c r="X153" s="14" t="n">
        <v>0</v>
      </c>
      <c r="Y153" s="14" t="n">
        <v>317016</v>
      </c>
      <c r="Z153" s="14" t="n">
        <v>174358.8</v>
      </c>
      <c r="AA153" s="14" t="n">
        <v>142657.2</v>
      </c>
      <c r="AB153" s="15" t="n">
        <v>0.45</v>
      </c>
      <c r="AC153" t="n">
        <v>5</v>
      </c>
      <c r="AD153" t="inlineStr">
        <is>
          <t>PACIFICO|OP-000152|20260415|P-200</t>
        </is>
      </c>
      <c r="AE153" t="n">
        <v>1</v>
      </c>
    </row>
    <row r="154">
      <c r="A154" t="n">
        <v>153</v>
      </c>
      <c r="B154" t="inlineStr">
        <is>
          <t>OP-000153</t>
        </is>
      </c>
      <c r="C154" s="12" t="n">
        <v>46134</v>
      </c>
      <c r="D154" s="13" t="n">
        <v>0.6979166666666666</v>
      </c>
      <c r="E154" t="inlineStr">
        <is>
          <t>C-0014</t>
        </is>
      </c>
      <c r="F154" t="inlineStr">
        <is>
          <t>Cliente 14</t>
        </is>
      </c>
      <c r="G154" t="inlineStr">
        <is>
          <t>P-300</t>
        </is>
      </c>
      <c r="H154" t="inlineStr">
        <is>
          <t>Mouse</t>
        </is>
      </c>
      <c r="I154" t="inlineStr">
        <is>
          <t>Tecnologia</t>
        </is>
      </c>
      <c r="J154" t="inlineStr">
        <is>
          <t>Norte</t>
        </is>
      </c>
      <c r="K154" t="inlineStr">
        <is>
          <t>SUC-02</t>
        </is>
      </c>
      <c r="L154" t="inlineStr">
        <is>
          <t>Digital</t>
        </is>
      </c>
      <c r="M154" t="inlineStr">
        <is>
          <t>Pendiente</t>
        </is>
      </c>
      <c r="N154" t="inlineStr">
        <is>
          <t>Alta</t>
        </is>
      </c>
      <c r="O154" t="n">
        <v>37</v>
      </c>
      <c r="P154" s="14" t="n">
        <v>9461</v>
      </c>
      <c r="Q154" s="15" t="n">
        <v>0.05</v>
      </c>
      <c r="R154" s="14" t="n">
        <v>5298.16</v>
      </c>
      <c r="S154" s="12" t="n">
        <v>46144</v>
      </c>
      <c r="T154" s="12" t="n">
        <v>46140</v>
      </c>
      <c r="U154" t="inlineStr">
        <is>
          <t>Resp 10</t>
        </is>
      </c>
      <c r="V154" t="inlineStr">
        <is>
          <t>archivo_04.csv</t>
        </is>
      </c>
      <c r="W154" s="14" t="n">
        <v>350057</v>
      </c>
      <c r="X154" s="14" t="n">
        <v>17502.85</v>
      </c>
      <c r="Y154" s="14" t="n">
        <v>332554.15</v>
      </c>
      <c r="Z154" s="14" t="n">
        <v>196031.92</v>
      </c>
      <c r="AA154" s="14" t="n">
        <v>136522.23</v>
      </c>
      <c r="AB154" s="15" t="n">
        <v>0.4105263157894738</v>
      </c>
      <c r="AC154" t="n">
        <v>6</v>
      </c>
      <c r="AD154" t="inlineStr">
        <is>
          <t>NORTE|OP-000153|20260422|P-300</t>
        </is>
      </c>
      <c r="AE154" t="n">
        <v>1</v>
      </c>
    </row>
    <row r="155">
      <c r="A155" t="n">
        <v>154</v>
      </c>
      <c r="B155" t="inlineStr">
        <is>
          <t>OP-000154</t>
        </is>
      </c>
      <c r="C155" s="12" t="n">
        <v>46141</v>
      </c>
      <c r="D155" s="13" t="n">
        <v>0.7430555555555556</v>
      </c>
      <c r="E155" t="inlineStr">
        <is>
          <t>C-0015</t>
        </is>
      </c>
      <c r="F155" t="inlineStr">
        <is>
          <t>Cliente 15</t>
        </is>
      </c>
      <c r="G155" t="inlineStr">
        <is>
          <t>P-400</t>
        </is>
      </c>
      <c r="H155" t="inlineStr">
        <is>
          <t>Laptop</t>
        </is>
      </c>
      <c r="I155" t="inlineStr">
        <is>
          <t>Tecnologia</t>
        </is>
      </c>
      <c r="J155" t="inlineStr">
        <is>
          <t>Centro</t>
        </is>
      </c>
      <c r="K155" t="inlineStr">
        <is>
          <t>SUC-03</t>
        </is>
      </c>
      <c r="L155" t="inlineStr">
        <is>
          <t>Tienda</t>
        </is>
      </c>
      <c r="M155" t="inlineStr">
        <is>
          <t>Cancelado</t>
        </is>
      </c>
      <c r="N155" t="inlineStr">
        <is>
          <t>Media</t>
        </is>
      </c>
      <c r="O155" t="n">
        <v>40</v>
      </c>
      <c r="P155" s="14" t="n">
        <v>9598</v>
      </c>
      <c r="Q155" s="15" t="n">
        <v>0.1</v>
      </c>
      <c r="R155" s="14" t="n">
        <v>5470.86</v>
      </c>
      <c r="S155" s="12" t="n">
        <v>46152</v>
      </c>
      <c r="T155" s="12" t="n">
        <v>46148</v>
      </c>
      <c r="U155" t="inlineStr">
        <is>
          <t>Resp 11</t>
        </is>
      </c>
      <c r="V155" t="inlineStr">
        <is>
          <t>archivo_05.csv</t>
        </is>
      </c>
      <c r="W155" s="14" t="n">
        <v>383920</v>
      </c>
      <c r="X155" s="14" t="n">
        <v>38392</v>
      </c>
      <c r="Y155" s="14" t="n">
        <v>345528</v>
      </c>
      <c r="Z155" s="14" t="n">
        <v>218834.4</v>
      </c>
      <c r="AA155" s="14" t="n">
        <v>126693.6</v>
      </c>
      <c r="AB155" s="15" t="n">
        <v>0.3666666666666667</v>
      </c>
      <c r="AC155" t="n">
        <v>7</v>
      </c>
      <c r="AD155" t="inlineStr">
        <is>
          <t>CENTRO|OP-000154|20260429|P-400</t>
        </is>
      </c>
      <c r="AE155" t="n">
        <v>1</v>
      </c>
    </row>
    <row r="156">
      <c r="A156" t="n">
        <v>155</v>
      </c>
      <c r="B156" t="inlineStr">
        <is>
          <t>OP-000155</t>
        </is>
      </c>
      <c r="C156" s="12" t="n">
        <v>46148</v>
      </c>
      <c r="D156" s="13" t="n">
        <v>0.7881944444444444</v>
      </c>
      <c r="E156" t="inlineStr">
        <is>
          <t>C-0016</t>
        </is>
      </c>
      <c r="F156" t="inlineStr">
        <is>
          <t>Cliente 16</t>
        </is>
      </c>
      <c r="G156" t="inlineStr">
        <is>
          <t>P-500</t>
        </is>
      </c>
      <c r="H156" t="inlineStr">
        <is>
          <t>Dock</t>
        </is>
      </c>
      <c r="I156" t="inlineStr">
        <is>
          <t>Tecnologia</t>
        </is>
      </c>
      <c r="J156" t="inlineStr">
        <is>
          <t>Sur</t>
        </is>
      </c>
      <c r="K156" t="inlineStr">
        <is>
          <t>SUC-04</t>
        </is>
      </c>
      <c r="L156" t="inlineStr">
        <is>
          <t>Distribuidor</t>
        </is>
      </c>
      <c r="M156" t="inlineStr">
        <is>
          <t>En revision</t>
        </is>
      </c>
      <c r="N156" t="inlineStr">
        <is>
          <t>Baja</t>
        </is>
      </c>
      <c r="O156" t="n">
        <v>43</v>
      </c>
      <c r="P156" s="14" t="n">
        <v>9735</v>
      </c>
      <c r="Q156" s="15" t="n">
        <v>0.15</v>
      </c>
      <c r="R156" s="14" t="n">
        <v>5646.3</v>
      </c>
      <c r="S156" s="12" t="n">
        <v>46160</v>
      </c>
      <c r="T156" s="12" t="n">
        <v>46156</v>
      </c>
      <c r="U156" t="inlineStr">
        <is>
          <t>Resp 12</t>
        </is>
      </c>
      <c r="V156" t="inlineStr">
        <is>
          <t>archivo_06.csv</t>
        </is>
      </c>
      <c r="W156" s="14" t="n">
        <v>418605</v>
      </c>
      <c r="X156" s="14" t="n">
        <v>62790.75</v>
      </c>
      <c r="Y156" s="14" t="n">
        <v>355814.25</v>
      </c>
      <c r="Z156" s="14" t="n">
        <v>242790.9</v>
      </c>
      <c r="AA156" s="14" t="n">
        <v>113023.35</v>
      </c>
      <c r="AB156" s="15" t="n">
        <v>0.3176470588235294</v>
      </c>
      <c r="AC156" t="n">
        <v>8</v>
      </c>
      <c r="AD156" t="inlineStr">
        <is>
          <t>SUR|OP-000155|20260506|P-500</t>
        </is>
      </c>
      <c r="AE156" t="n">
        <v>1</v>
      </c>
    </row>
    <row r="157">
      <c r="A157" t="n">
        <v>156</v>
      </c>
      <c r="B157" t="inlineStr">
        <is>
          <t>OP-000156</t>
        </is>
      </c>
      <c r="C157" s="12" t="n">
        <v>46155</v>
      </c>
      <c r="D157" s="13" t="n">
        <v>0.2916666666666667</v>
      </c>
      <c r="E157" t="inlineStr">
        <is>
          <t>C-0017</t>
        </is>
      </c>
      <c r="F157" t="inlineStr">
        <is>
          <t>Cliente 17</t>
        </is>
      </c>
      <c r="G157" t="inlineStr">
        <is>
          <t>P-100</t>
        </is>
      </c>
      <c r="H157" t="inlineStr">
        <is>
          <t>Monitor 24</t>
        </is>
      </c>
      <c r="I157" t="inlineStr">
        <is>
          <t>Tecnologia</t>
        </is>
      </c>
      <c r="J157" t="inlineStr">
        <is>
          <t>Pacifico</t>
        </is>
      </c>
      <c r="K157" t="inlineStr">
        <is>
          <t>SUC-05</t>
        </is>
      </c>
      <c r="L157" t="inlineStr">
        <is>
          <t>Digital</t>
        </is>
      </c>
      <c r="M157" t="inlineStr">
        <is>
          <t>Aprobado</t>
        </is>
      </c>
      <c r="N157" t="inlineStr">
        <is>
          <t>Critica</t>
        </is>
      </c>
      <c r="O157" t="n">
        <v>46</v>
      </c>
      <c r="P157" s="14" t="n">
        <v>9872</v>
      </c>
      <c r="Q157" s="15" t="n">
        <v>0</v>
      </c>
      <c r="R157" s="14" t="n">
        <v>5824.48</v>
      </c>
      <c r="S157" s="12" t="n">
        <v>46168</v>
      </c>
      <c r="T157" s="12" t="n">
        <v>46164</v>
      </c>
      <c r="U157" t="inlineStr">
        <is>
          <t>Resp 1</t>
        </is>
      </c>
      <c r="V157" t="inlineStr">
        <is>
          <t>archivo_01.csv</t>
        </is>
      </c>
      <c r="W157" s="14" t="n">
        <v>454112</v>
      </c>
      <c r="X157" s="14" t="n">
        <v>0</v>
      </c>
      <c r="Y157" s="14" t="n">
        <v>454112</v>
      </c>
      <c r="Z157" s="14" t="n">
        <v>267926.08</v>
      </c>
      <c r="AA157" s="14" t="n">
        <v>186185.92</v>
      </c>
      <c r="AB157" s="15" t="n">
        <v>0.4100000000000001</v>
      </c>
      <c r="AC157" t="n">
        <v>9</v>
      </c>
      <c r="AD157" t="inlineStr">
        <is>
          <t>PACIFICO|OP-000156|20260513|P-100</t>
        </is>
      </c>
      <c r="AE157" t="n">
        <v>1</v>
      </c>
    </row>
    <row r="158">
      <c r="A158" t="n">
        <v>157</v>
      </c>
      <c r="B158" t="inlineStr">
        <is>
          <t>OP-000157</t>
        </is>
      </c>
      <c r="C158" s="12" t="n">
        <v>46162</v>
      </c>
      <c r="D158" s="13" t="n">
        <v>0.3368055555555556</v>
      </c>
      <c r="E158" t="inlineStr">
        <is>
          <t>C-0018</t>
        </is>
      </c>
      <c r="F158" t="inlineStr">
        <is>
          <t>Cliente 18</t>
        </is>
      </c>
      <c r="G158" t="inlineStr">
        <is>
          <t>P-200</t>
        </is>
      </c>
      <c r="H158" t="inlineStr">
        <is>
          <t>Teclado</t>
        </is>
      </c>
      <c r="I158" t="inlineStr">
        <is>
          <t>Tecnologia</t>
        </is>
      </c>
      <c r="J158" t="inlineStr">
        <is>
          <t>Norte</t>
        </is>
      </c>
      <c r="K158" t="inlineStr">
        <is>
          <t>SUC-06</t>
        </is>
      </c>
      <c r="L158" t="inlineStr">
        <is>
          <t>Tienda</t>
        </is>
      </c>
      <c r="M158" t="inlineStr">
        <is>
          <t>Pendiente</t>
        </is>
      </c>
      <c r="N158" t="inlineStr">
        <is>
          <t>Alta</t>
        </is>
      </c>
      <c r="O158" t="n">
        <v>2</v>
      </c>
      <c r="P158" s="14" t="n">
        <v>10009</v>
      </c>
      <c r="Q158" s="15" t="n">
        <v>0.05</v>
      </c>
      <c r="R158" s="14" t="n">
        <v>6005.4</v>
      </c>
      <c r="S158" s="12" t="n">
        <v>46176</v>
      </c>
      <c r="T158" s="12" t="n">
        <v>46172</v>
      </c>
      <c r="U158" t="inlineStr">
        <is>
          <t>Resp 2</t>
        </is>
      </c>
      <c r="V158" t="inlineStr">
        <is>
          <t>archivo_02.csv</t>
        </is>
      </c>
      <c r="W158" s="14" t="n">
        <v>20018</v>
      </c>
      <c r="X158" s="14" t="n">
        <v>1000.9</v>
      </c>
      <c r="Y158" s="14" t="n">
        <v>19017.1</v>
      </c>
      <c r="Z158" s="14" t="n">
        <v>12010.8</v>
      </c>
      <c r="AA158" s="14" t="n">
        <v>7006.299999999999</v>
      </c>
      <c r="AB158" s="15" t="n">
        <v>0.3684210526315789</v>
      </c>
      <c r="AC158" t="n">
        <v>10</v>
      </c>
      <c r="AD158" t="inlineStr">
        <is>
          <t>NORTE|OP-000157|20260520|P-200</t>
        </is>
      </c>
      <c r="AE158" t="n">
        <v>1</v>
      </c>
    </row>
    <row r="159">
      <c r="A159" t="n">
        <v>158</v>
      </c>
      <c r="B159" t="inlineStr">
        <is>
          <t>OP-000158</t>
        </is>
      </c>
      <c r="C159" s="12" t="n">
        <v>46169</v>
      </c>
      <c r="D159" s="13" t="n">
        <v>0.3819444444444444</v>
      </c>
      <c r="E159" t="inlineStr">
        <is>
          <t>C-0019</t>
        </is>
      </c>
      <c r="F159" t="inlineStr">
        <is>
          <t>Cliente 19</t>
        </is>
      </c>
      <c r="G159" t="inlineStr">
        <is>
          <t>P-300</t>
        </is>
      </c>
      <c r="H159" t="inlineStr">
        <is>
          <t>Mouse</t>
        </is>
      </c>
      <c r="I159" t="inlineStr">
        <is>
          <t>Tecnologia</t>
        </is>
      </c>
      <c r="J159" t="inlineStr">
        <is>
          <t>Centro</t>
        </is>
      </c>
      <c r="K159" t="inlineStr">
        <is>
          <t>SUC-07</t>
        </is>
      </c>
      <c r="L159" t="inlineStr">
        <is>
          <t>Distribuidor</t>
        </is>
      </c>
      <c r="M159" t="inlineStr">
        <is>
          <t>Cancelado</t>
        </is>
      </c>
      <c r="N159" t="inlineStr">
        <is>
          <t>Media</t>
        </is>
      </c>
      <c r="O159" t="n">
        <v>5</v>
      </c>
      <c r="P159" s="14" t="n">
        <v>10146</v>
      </c>
      <c r="Q159" s="15" t="n">
        <v>0.1</v>
      </c>
      <c r="R159" s="14" t="n">
        <v>6189.06</v>
      </c>
      <c r="S159" s="12" t="n">
        <v>46184</v>
      </c>
      <c r="T159" s="12" t="n">
        <v>46180</v>
      </c>
      <c r="U159" t="inlineStr">
        <is>
          <t>Resp 3</t>
        </is>
      </c>
      <c r="V159" t="inlineStr">
        <is>
          <t>archivo_03.csv</t>
        </is>
      </c>
      <c r="W159" s="14" t="n">
        <v>50730</v>
      </c>
      <c r="X159" s="14" t="n">
        <v>5073</v>
      </c>
      <c r="Y159" s="14" t="n">
        <v>45657</v>
      </c>
      <c r="Z159" s="14" t="n">
        <v>30945.3</v>
      </c>
      <c r="AA159" s="14" t="n">
        <v>14711.7</v>
      </c>
      <c r="AB159" s="15" t="n">
        <v>0.3222222222222221</v>
      </c>
      <c r="AC159" t="n">
        <v>11</v>
      </c>
      <c r="AD159" t="inlineStr">
        <is>
          <t>CENTRO|OP-000158|20260527|P-300</t>
        </is>
      </c>
      <c r="AE159" t="n">
        <v>1</v>
      </c>
    </row>
    <row r="160">
      <c r="A160" t="n">
        <v>159</v>
      </c>
      <c r="B160" t="inlineStr">
        <is>
          <t>OP-000159</t>
        </is>
      </c>
      <c r="C160" s="12" t="n">
        <v>46176</v>
      </c>
      <c r="D160" s="13" t="n">
        <v>0.4270833333333333</v>
      </c>
      <c r="E160" t="inlineStr">
        <is>
          <t>C-0020</t>
        </is>
      </c>
      <c r="F160" t="inlineStr">
        <is>
          <t>Cliente 20</t>
        </is>
      </c>
      <c r="G160" t="inlineStr">
        <is>
          <t>P-400</t>
        </is>
      </c>
      <c r="H160" t="inlineStr">
        <is>
          <t>Laptop</t>
        </is>
      </c>
      <c r="I160" t="inlineStr">
        <is>
          <t>Tecnologia</t>
        </is>
      </c>
      <c r="J160" t="inlineStr">
        <is>
          <t>Sur</t>
        </is>
      </c>
      <c r="K160" t="inlineStr">
        <is>
          <t>SUC-08</t>
        </is>
      </c>
      <c r="L160" t="inlineStr">
        <is>
          <t>Digital</t>
        </is>
      </c>
      <c r="M160" t="inlineStr">
        <is>
          <t>En revision</t>
        </is>
      </c>
      <c r="N160" t="inlineStr">
        <is>
          <t>Baja</t>
        </is>
      </c>
      <c r="O160" t="n">
        <v>8</v>
      </c>
      <c r="P160" s="14" t="n">
        <v>10283</v>
      </c>
      <c r="Q160" s="15" t="n">
        <v>0.15</v>
      </c>
      <c r="R160" s="14" t="n">
        <v>6375.46</v>
      </c>
      <c r="S160" s="12" t="n">
        <v>46192</v>
      </c>
      <c r="T160" s="12" t="n">
        <v>46188</v>
      </c>
      <c r="U160" t="inlineStr">
        <is>
          <t>Resp 4</t>
        </is>
      </c>
      <c r="V160" t="inlineStr">
        <is>
          <t>archivo_04.csv</t>
        </is>
      </c>
      <c r="W160" s="14" t="n">
        <v>82264</v>
      </c>
      <c r="X160" s="14" t="n">
        <v>12339.6</v>
      </c>
      <c r="Y160" s="14" t="n">
        <v>69924.39999999999</v>
      </c>
      <c r="Z160" s="14" t="n">
        <v>51003.68</v>
      </c>
      <c r="AA160" s="14" t="n">
        <v>18920.71999999999</v>
      </c>
      <c r="AB160" s="15" t="n">
        <v>0.2705882352941176</v>
      </c>
      <c r="AC160" t="n">
        <v>12</v>
      </c>
      <c r="AD160" t="inlineStr">
        <is>
          <t>SUR|OP-000159|20260603|P-400</t>
        </is>
      </c>
      <c r="AE160" t="n">
        <v>1</v>
      </c>
    </row>
    <row r="161">
      <c r="A161" t="n">
        <v>160</v>
      </c>
      <c r="B161" t="inlineStr">
        <is>
          <t>OP-000160</t>
        </is>
      </c>
      <c r="C161" s="12" t="n">
        <v>46183</v>
      </c>
      <c r="D161" s="13" t="n">
        <v>0.4722222222222222</v>
      </c>
      <c r="E161" t="inlineStr">
        <is>
          <t>C-0021</t>
        </is>
      </c>
      <c r="F161" t="inlineStr">
        <is>
          <t>Cliente 21</t>
        </is>
      </c>
      <c r="G161" t="inlineStr">
        <is>
          <t>P-500</t>
        </is>
      </c>
      <c r="H161" t="inlineStr">
        <is>
          <t>Dock</t>
        </is>
      </c>
      <c r="I161" t="inlineStr">
        <is>
          <t>Tecnologia</t>
        </is>
      </c>
      <c r="J161" t="inlineStr">
        <is>
          <t>Pacifico</t>
        </is>
      </c>
      <c r="K161" t="inlineStr">
        <is>
          <t>SUC-01</t>
        </is>
      </c>
      <c r="L161" t="inlineStr">
        <is>
          <t>Tienda</t>
        </is>
      </c>
      <c r="M161" t="inlineStr">
        <is>
          <t>Aprobado</t>
        </is>
      </c>
      <c r="N161" t="inlineStr">
        <is>
          <t>Critica</t>
        </is>
      </c>
      <c r="O161" t="n">
        <v>11</v>
      </c>
      <c r="P161" s="14" t="n">
        <v>10420</v>
      </c>
      <c r="Q161" s="15" t="n">
        <v>0</v>
      </c>
      <c r="R161" s="14" t="n">
        <v>5731</v>
      </c>
      <c r="S161" s="12" t="n">
        <v>46190</v>
      </c>
      <c r="T161" s="12" t="n">
        <v>46196</v>
      </c>
      <c r="U161" t="inlineStr">
        <is>
          <t>Resp 5</t>
        </is>
      </c>
      <c r="V161" t="inlineStr">
        <is>
          <t>archivo_05.csv</t>
        </is>
      </c>
      <c r="W161" s="14" t="n">
        <v>114620</v>
      </c>
      <c r="X161" s="14" t="n">
        <v>0</v>
      </c>
      <c r="Y161" s="14" t="n">
        <v>114620</v>
      </c>
      <c r="Z161" s="14" t="n">
        <v>63041</v>
      </c>
      <c r="AA161" s="14" t="n">
        <v>51579</v>
      </c>
      <c r="AB161" s="15" t="n">
        <v>0.45</v>
      </c>
      <c r="AC161" t="n">
        <v>13</v>
      </c>
      <c r="AD161" t="inlineStr">
        <is>
          <t>PACIFICO|OP-000160|20260610|P-500</t>
        </is>
      </c>
      <c r="AE161" t="n">
        <v>1</v>
      </c>
    </row>
    <row r="162">
      <c r="A162" t="n">
        <v>161</v>
      </c>
      <c r="B162" t="inlineStr">
        <is>
          <t>OP-000161</t>
        </is>
      </c>
      <c r="C162" s="12" t="n">
        <v>46190</v>
      </c>
      <c r="D162" s="13" t="n">
        <v>0.5173611111111112</v>
      </c>
      <c r="E162" t="inlineStr">
        <is>
          <t>C-0022</t>
        </is>
      </c>
      <c r="F162" t="inlineStr">
        <is>
          <t>Cliente 22</t>
        </is>
      </c>
      <c r="G162" t="inlineStr">
        <is>
          <t>P-100</t>
        </is>
      </c>
      <c r="H162" t="inlineStr">
        <is>
          <t>Monitor 24</t>
        </is>
      </c>
      <c r="I162" t="inlineStr">
        <is>
          <t>Tecnologia</t>
        </is>
      </c>
      <c r="J162" t="inlineStr">
        <is>
          <t>Norte</t>
        </is>
      </c>
      <c r="K162" t="inlineStr">
        <is>
          <t>SUC-02</t>
        </is>
      </c>
      <c r="L162" t="inlineStr">
        <is>
          <t>Distribuidor</t>
        </is>
      </c>
      <c r="M162" t="inlineStr">
        <is>
          <t>Pendiente</t>
        </is>
      </c>
      <c r="N162" t="inlineStr">
        <is>
          <t>Alta</t>
        </is>
      </c>
      <c r="O162" t="n">
        <v>14</v>
      </c>
      <c r="P162" s="14" t="n">
        <v>10557</v>
      </c>
      <c r="Q162" s="15" t="n">
        <v>0.05</v>
      </c>
      <c r="R162" s="14" t="n">
        <v>5911.92</v>
      </c>
      <c r="S162" s="12" t="n">
        <v>46198</v>
      </c>
      <c r="T162" s="12" t="n">
        <v>46204</v>
      </c>
      <c r="U162" t="inlineStr">
        <is>
          <t>Resp 6</t>
        </is>
      </c>
      <c r="V162" t="inlineStr">
        <is>
          <t>archivo_06.csv</t>
        </is>
      </c>
      <c r="W162" s="14" t="n">
        <v>147798</v>
      </c>
      <c r="X162" s="14" t="n">
        <v>7389.900000000001</v>
      </c>
      <c r="Y162" s="14" t="n">
        <v>140408.1</v>
      </c>
      <c r="Z162" s="14" t="n">
        <v>82766.88</v>
      </c>
      <c r="AA162" s="14" t="n">
        <v>57641.22</v>
      </c>
      <c r="AB162" s="15" t="n">
        <v>0.4105263157894737</v>
      </c>
      <c r="AC162" t="n">
        <v>14</v>
      </c>
      <c r="AD162" t="inlineStr">
        <is>
          <t>NORTE|OP-000161|20260617|P-100</t>
        </is>
      </c>
      <c r="AE162" t="n">
        <v>1</v>
      </c>
    </row>
    <row r="163">
      <c r="A163" t="n">
        <v>162</v>
      </c>
      <c r="B163" t="inlineStr">
        <is>
          <t>OP-000162</t>
        </is>
      </c>
      <c r="C163" s="12" t="n">
        <v>46197</v>
      </c>
      <c r="D163" s="13" t="n">
        <v>0.5625</v>
      </c>
      <c r="E163" t="inlineStr">
        <is>
          <t>C-0023</t>
        </is>
      </c>
      <c r="F163" t="inlineStr">
        <is>
          <t>Cliente 23</t>
        </is>
      </c>
      <c r="G163" t="inlineStr">
        <is>
          <t>P-200</t>
        </is>
      </c>
      <c r="H163" t="inlineStr">
        <is>
          <t>Teclado</t>
        </is>
      </c>
      <c r="I163" t="inlineStr">
        <is>
          <t>Tecnologia</t>
        </is>
      </c>
      <c r="J163" t="inlineStr">
        <is>
          <t>Centro</t>
        </is>
      </c>
      <c r="K163" t="inlineStr">
        <is>
          <t>SUC-03</t>
        </is>
      </c>
      <c r="L163" t="inlineStr">
        <is>
          <t>Digital</t>
        </is>
      </c>
      <c r="M163" t="inlineStr">
        <is>
          <t>Cancelado</t>
        </is>
      </c>
      <c r="N163" t="inlineStr">
        <is>
          <t>Media</t>
        </is>
      </c>
      <c r="O163" t="n">
        <v>17</v>
      </c>
      <c r="P163" s="14" t="n">
        <v>10694</v>
      </c>
      <c r="Q163" s="15" t="n">
        <v>0.1</v>
      </c>
      <c r="R163" s="14" t="n">
        <v>6095.58</v>
      </c>
      <c r="S163" s="12" t="n">
        <v>46206</v>
      </c>
      <c r="T163" s="12" t="n">
        <v>46212</v>
      </c>
      <c r="U163" t="inlineStr">
        <is>
          <t>Resp 7</t>
        </is>
      </c>
      <c r="V163" t="inlineStr">
        <is>
          <t>archivo_01.csv</t>
        </is>
      </c>
      <c r="W163" s="14" t="n">
        <v>181798</v>
      </c>
      <c r="X163" s="14" t="n">
        <v>18179.8</v>
      </c>
      <c r="Y163" s="14" t="n">
        <v>163618.2</v>
      </c>
      <c r="Z163" s="14" t="n">
        <v>103624.86</v>
      </c>
      <c r="AA163" s="14" t="n">
        <v>59993.34000000001</v>
      </c>
      <c r="AB163" s="15" t="n">
        <v>0.3666666666666667</v>
      </c>
      <c r="AC163" t="n">
        <v>15</v>
      </c>
      <c r="AD163" t="inlineStr">
        <is>
          <t>CENTRO|OP-000162|20260624|P-200</t>
        </is>
      </c>
      <c r="AE163" t="n">
        <v>1</v>
      </c>
    </row>
    <row r="164">
      <c r="A164" t="n">
        <v>163</v>
      </c>
      <c r="B164" t="inlineStr">
        <is>
          <t>OP-000163</t>
        </is>
      </c>
      <c r="C164" s="12" t="n">
        <v>46204</v>
      </c>
      <c r="D164" s="13" t="n">
        <v>0.6076388888888888</v>
      </c>
      <c r="E164" t="inlineStr">
        <is>
          <t>C-0024</t>
        </is>
      </c>
      <c r="F164" t="inlineStr">
        <is>
          <t>Cliente 24</t>
        </is>
      </c>
      <c r="G164" t="inlineStr">
        <is>
          <t>P-300</t>
        </is>
      </c>
      <c r="H164" t="inlineStr">
        <is>
          <t>Mouse</t>
        </is>
      </c>
      <c r="I164" t="inlineStr">
        <is>
          <t>Tecnologia</t>
        </is>
      </c>
      <c r="J164" t="inlineStr">
        <is>
          <t>Sur</t>
        </is>
      </c>
      <c r="K164" t="inlineStr">
        <is>
          <t>SUC-04</t>
        </is>
      </c>
      <c r="L164" t="inlineStr">
        <is>
          <t>Tienda</t>
        </is>
      </c>
      <c r="M164" t="inlineStr">
        <is>
          <t>En revision</t>
        </is>
      </c>
      <c r="N164" t="inlineStr">
        <is>
          <t>Baja</t>
        </is>
      </c>
      <c r="O164" t="n">
        <v>20</v>
      </c>
      <c r="P164" s="14" t="n">
        <v>10831</v>
      </c>
      <c r="Q164" s="15" t="n">
        <v>0.15</v>
      </c>
      <c r="R164" s="14" t="n">
        <v>6281.98</v>
      </c>
      <c r="S164" s="12" t="n">
        <v>46214</v>
      </c>
      <c r="T164" s="12" t="n">
        <v>46220</v>
      </c>
      <c r="U164" t="inlineStr">
        <is>
          <t>Resp 8</t>
        </is>
      </c>
      <c r="V164" t="inlineStr">
        <is>
          <t>archivo_02.csv</t>
        </is>
      </c>
      <c r="W164" s="14" t="n">
        <v>216620</v>
      </c>
      <c r="X164" s="14" t="n">
        <v>32493</v>
      </c>
      <c r="Y164" s="14" t="n">
        <v>184127</v>
      </c>
      <c r="Z164" s="14" t="n">
        <v>125639.6</v>
      </c>
      <c r="AA164" s="14" t="n">
        <v>58487.40000000001</v>
      </c>
      <c r="AB164" s="15" t="n">
        <v>0.3176470588235294</v>
      </c>
      <c r="AC164" t="n">
        <v>16</v>
      </c>
      <c r="AD164" t="inlineStr">
        <is>
          <t>SUR|OP-000163|20260701|P-300</t>
        </is>
      </c>
      <c r="AE164" t="n">
        <v>1</v>
      </c>
    </row>
    <row r="165">
      <c r="A165" t="n">
        <v>164</v>
      </c>
      <c r="B165" t="inlineStr">
        <is>
          <t>OP-000164</t>
        </is>
      </c>
      <c r="C165" s="12" t="n">
        <v>46211</v>
      </c>
      <c r="D165" s="13" t="n">
        <v>0.6527777777777778</v>
      </c>
      <c r="E165" t="inlineStr">
        <is>
          <t>C-0025</t>
        </is>
      </c>
      <c r="F165" t="inlineStr">
        <is>
          <t>Cliente 25</t>
        </is>
      </c>
      <c r="G165" t="inlineStr">
        <is>
          <t>P-400</t>
        </is>
      </c>
      <c r="H165" t="inlineStr">
        <is>
          <t>Laptop</t>
        </is>
      </c>
      <c r="I165" t="inlineStr">
        <is>
          <t>Tecnologia</t>
        </is>
      </c>
      <c r="J165" t="inlineStr">
        <is>
          <t>Pacifico</t>
        </is>
      </c>
      <c r="K165" t="inlineStr">
        <is>
          <t>SUC-05</t>
        </is>
      </c>
      <c r="L165" t="inlineStr">
        <is>
          <t>Distribuidor</t>
        </is>
      </c>
      <c r="M165" t="inlineStr">
        <is>
          <t>Aprobado</t>
        </is>
      </c>
      <c r="N165" t="inlineStr">
        <is>
          <t>Critica</t>
        </is>
      </c>
      <c r="O165" t="n">
        <v>23</v>
      </c>
      <c r="P165" s="14" t="n">
        <v>10968</v>
      </c>
      <c r="Q165" s="15" t="n">
        <v>0</v>
      </c>
      <c r="R165" s="14" t="n">
        <v>6471.12</v>
      </c>
      <c r="S165" s="12" t="n">
        <v>46222</v>
      </c>
      <c r="T165" s="12" t="n">
        <v>46228</v>
      </c>
      <c r="U165" t="inlineStr">
        <is>
          <t>Resp 9</t>
        </is>
      </c>
      <c r="V165" t="inlineStr">
        <is>
          <t>archivo_03.csv</t>
        </is>
      </c>
      <c r="W165" s="14" t="n">
        <v>252264</v>
      </c>
      <c r="X165" s="14" t="n">
        <v>0</v>
      </c>
      <c r="Y165" s="14" t="n">
        <v>252264</v>
      </c>
      <c r="Z165" s="14" t="n">
        <v>148835.76</v>
      </c>
      <c r="AA165" s="14" t="n">
        <v>103428.24</v>
      </c>
      <c r="AB165" s="15" t="n">
        <v>0.41</v>
      </c>
      <c r="AC165" t="n">
        <v>17</v>
      </c>
      <c r="AD165" t="inlineStr">
        <is>
          <t>PACIFICO|OP-000164|20260708|P-400</t>
        </is>
      </c>
      <c r="AE165" t="n">
        <v>1</v>
      </c>
    </row>
    <row r="166">
      <c r="A166" t="n">
        <v>165</v>
      </c>
      <c r="B166" t="inlineStr">
        <is>
          <t>OP-000165</t>
        </is>
      </c>
      <c r="C166" s="12" t="n">
        <v>46218</v>
      </c>
      <c r="D166" s="13" t="n">
        <v>0.6979166666666666</v>
      </c>
      <c r="E166" t="inlineStr">
        <is>
          <t>C-0026</t>
        </is>
      </c>
      <c r="F166" t="inlineStr">
        <is>
          <t>Cliente 26</t>
        </is>
      </c>
      <c r="G166" t="inlineStr">
        <is>
          <t>P-500</t>
        </is>
      </c>
      <c r="H166" t="inlineStr">
        <is>
          <t>Dock</t>
        </is>
      </c>
      <c r="I166" t="inlineStr">
        <is>
          <t>Tecnologia</t>
        </is>
      </c>
      <c r="J166" t="inlineStr">
        <is>
          <t>Norte</t>
        </is>
      </c>
      <c r="K166" t="inlineStr">
        <is>
          <t>SUC-06</t>
        </is>
      </c>
      <c r="L166" t="inlineStr">
        <is>
          <t>Digital</t>
        </is>
      </c>
      <c r="M166" t="inlineStr">
        <is>
          <t>Pendiente</t>
        </is>
      </c>
      <c r="N166" t="inlineStr">
        <is>
          <t>Alta</t>
        </is>
      </c>
      <c r="O166" t="n">
        <v>26</v>
      </c>
      <c r="P166" s="14" t="n">
        <v>11105</v>
      </c>
      <c r="Q166" s="15" t="n">
        <v>0.05</v>
      </c>
      <c r="R166" s="14" t="n">
        <v>6663</v>
      </c>
      <c r="S166" s="12" t="n">
        <v>46230</v>
      </c>
      <c r="T166" s="12" t="n">
        <v>46221</v>
      </c>
      <c r="U166" t="inlineStr">
        <is>
          <t>Resp 10</t>
        </is>
      </c>
      <c r="V166" t="inlineStr">
        <is>
          <t>archivo_04.csv</t>
        </is>
      </c>
      <c r="W166" s="14" t="n">
        <v>288730</v>
      </c>
      <c r="X166" s="14" t="n">
        <v>14436.5</v>
      </c>
      <c r="Y166" s="14" t="n">
        <v>274293.5</v>
      </c>
      <c r="Z166" s="14" t="n">
        <v>173238</v>
      </c>
      <c r="AA166" s="14" t="n">
        <v>101055.5</v>
      </c>
      <c r="AB166" s="15" t="n">
        <v>0.3684210526315789</v>
      </c>
      <c r="AC166" t="n">
        <v>3</v>
      </c>
      <c r="AD166" t="inlineStr">
        <is>
          <t>NORTE|OP-000165|20260715|P-500</t>
        </is>
      </c>
      <c r="AE166" t="n">
        <v>1</v>
      </c>
    </row>
    <row r="167">
      <c r="A167" t="n">
        <v>166</v>
      </c>
      <c r="B167" t="inlineStr">
        <is>
          <t>OP-000166</t>
        </is>
      </c>
      <c r="C167" s="12" t="n">
        <v>46225</v>
      </c>
      <c r="D167" s="13" t="n">
        <v>0.7430555555555556</v>
      </c>
      <c r="E167" t="inlineStr">
        <is>
          <t>C-0027</t>
        </is>
      </c>
      <c r="F167" t="inlineStr">
        <is>
          <t>Cliente 27</t>
        </is>
      </c>
      <c r="G167" t="inlineStr">
        <is>
          <t>P-100</t>
        </is>
      </c>
      <c r="H167" t="inlineStr">
        <is>
          <t>Monitor 24</t>
        </is>
      </c>
      <c r="I167" t="inlineStr">
        <is>
          <t>Tecnologia</t>
        </is>
      </c>
      <c r="J167" t="inlineStr">
        <is>
          <t>Centro</t>
        </is>
      </c>
      <c r="K167" t="inlineStr">
        <is>
          <t>SUC-07</t>
        </is>
      </c>
      <c r="L167" t="inlineStr">
        <is>
          <t>Tienda</t>
        </is>
      </c>
      <c r="M167" t="inlineStr">
        <is>
          <t>Cancelado</t>
        </is>
      </c>
      <c r="N167" t="inlineStr">
        <is>
          <t>Media</t>
        </is>
      </c>
      <c r="O167" t="n">
        <v>29</v>
      </c>
      <c r="P167" s="14" t="n">
        <v>11242</v>
      </c>
      <c r="Q167" s="15" t="n">
        <v>0.1</v>
      </c>
      <c r="R167" s="14" t="n">
        <v>6857.62</v>
      </c>
      <c r="S167" s="12" t="n">
        <v>46238</v>
      </c>
      <c r="T167" s="12" t="n">
        <v>46229</v>
      </c>
      <c r="U167" t="inlineStr">
        <is>
          <t>Resp 11</t>
        </is>
      </c>
      <c r="V167" t="inlineStr">
        <is>
          <t>archivo_05.csv</t>
        </is>
      </c>
      <c r="W167" s="14" t="n">
        <v>326018</v>
      </c>
      <c r="X167" s="14" t="n">
        <v>32601.8</v>
      </c>
      <c r="Y167" s="14" t="n">
        <v>293416.2</v>
      </c>
      <c r="Z167" s="14" t="n">
        <v>198870.98</v>
      </c>
      <c r="AA167" s="14" t="n">
        <v>94545.22</v>
      </c>
      <c r="AB167" s="15" t="n">
        <v>0.3222222222222222</v>
      </c>
      <c r="AC167" t="n">
        <v>4</v>
      </c>
      <c r="AD167" t="inlineStr">
        <is>
          <t>CENTRO|OP-000166|20260722|P-100</t>
        </is>
      </c>
      <c r="AE167" t="n">
        <v>1</v>
      </c>
    </row>
    <row r="168">
      <c r="A168" t="n">
        <v>167</v>
      </c>
      <c r="B168" t="inlineStr">
        <is>
          <t>OP-000167</t>
        </is>
      </c>
      <c r="C168" s="12" t="n">
        <v>46232</v>
      </c>
      <c r="D168" s="13" t="n">
        <v>0.7881944444444444</v>
      </c>
      <c r="E168" t="inlineStr">
        <is>
          <t>C-0028</t>
        </is>
      </c>
      <c r="F168" t="inlineStr">
        <is>
          <t>Cliente 28</t>
        </is>
      </c>
      <c r="G168" t="inlineStr">
        <is>
          <t>P-200</t>
        </is>
      </c>
      <c r="H168" t="inlineStr">
        <is>
          <t>Teclado</t>
        </is>
      </c>
      <c r="I168" t="inlineStr">
        <is>
          <t>Tecnologia</t>
        </is>
      </c>
      <c r="J168" t="inlineStr">
        <is>
          <t>Sur</t>
        </is>
      </c>
      <c r="K168" t="inlineStr">
        <is>
          <t>SUC-08</t>
        </is>
      </c>
      <c r="L168" t="inlineStr">
        <is>
          <t>Distribuidor</t>
        </is>
      </c>
      <c r="M168" t="inlineStr">
        <is>
          <t>En revision</t>
        </is>
      </c>
      <c r="N168" t="inlineStr">
        <is>
          <t>Baja</t>
        </is>
      </c>
      <c r="O168" t="n">
        <v>32</v>
      </c>
      <c r="P168" s="14" t="n">
        <v>11379</v>
      </c>
      <c r="Q168" s="15" t="n">
        <v>0.15</v>
      </c>
      <c r="R168" s="14" t="n">
        <v>7054.98</v>
      </c>
      <c r="S168" s="12" t="n">
        <v>46246</v>
      </c>
      <c r="T168" s="12" t="n">
        <v>46237</v>
      </c>
      <c r="U168" t="inlineStr">
        <is>
          <t>Resp 12</t>
        </is>
      </c>
      <c r="V168" t="inlineStr">
        <is>
          <t>archivo_06.csv</t>
        </is>
      </c>
      <c r="W168" s="14" t="n">
        <v>364128</v>
      </c>
      <c r="X168" s="14" t="n">
        <v>54619.2</v>
      </c>
      <c r="Y168" s="14" t="n">
        <v>309508.8</v>
      </c>
      <c r="Z168" s="14" t="n">
        <v>225759.36</v>
      </c>
      <c r="AA168" s="14" t="n">
        <v>83749.44</v>
      </c>
      <c r="AB168" s="15" t="n">
        <v>0.2705882352941177</v>
      </c>
      <c r="AC168" t="n">
        <v>5</v>
      </c>
      <c r="AD168" t="inlineStr">
        <is>
          <t>SUR|OP-000167|20260729|P-200</t>
        </is>
      </c>
      <c r="AE168" t="n">
        <v>1</v>
      </c>
    </row>
    <row r="169">
      <c r="A169" t="n">
        <v>168</v>
      </c>
      <c r="B169" t="inlineStr">
        <is>
          <t>OP-000168</t>
        </is>
      </c>
      <c r="C169" s="12" t="n">
        <v>46239</v>
      </c>
      <c r="D169" s="13" t="n">
        <v>0.2916666666666667</v>
      </c>
      <c r="E169" t="inlineStr">
        <is>
          <t>C-0029</t>
        </is>
      </c>
      <c r="F169" t="inlineStr">
        <is>
          <t>Cliente 29</t>
        </is>
      </c>
      <c r="G169" t="inlineStr">
        <is>
          <t>P-300</t>
        </is>
      </c>
      <c r="H169" t="inlineStr">
        <is>
          <t>Mouse</t>
        </is>
      </c>
      <c r="I169" t="inlineStr">
        <is>
          <t>Tecnologia</t>
        </is>
      </c>
      <c r="J169" t="inlineStr">
        <is>
          <t>Pacifico</t>
        </is>
      </c>
      <c r="K169" t="inlineStr">
        <is>
          <t>SUC-01</t>
        </is>
      </c>
      <c r="L169" t="inlineStr">
        <is>
          <t>Digital</t>
        </is>
      </c>
      <c r="M169" t="inlineStr">
        <is>
          <t>Aprobado</t>
        </is>
      </c>
      <c r="N169" t="inlineStr">
        <is>
          <t>Critica</t>
        </is>
      </c>
      <c r="O169" t="n">
        <v>35</v>
      </c>
      <c r="P169" s="14" t="n">
        <v>11516</v>
      </c>
      <c r="Q169" s="15" t="n">
        <v>0</v>
      </c>
      <c r="R169" s="14" t="n">
        <v>6333.8</v>
      </c>
      <c r="S169" s="12" t="n">
        <v>46254</v>
      </c>
      <c r="T169" s="12" t="n">
        <v>46245</v>
      </c>
      <c r="U169" t="inlineStr">
        <is>
          <t>Resp 1</t>
        </is>
      </c>
      <c r="V169" t="inlineStr">
        <is>
          <t>archivo_01.csv</t>
        </is>
      </c>
      <c r="W169" s="14" t="n">
        <v>403060</v>
      </c>
      <c r="X169" s="14" t="n">
        <v>0</v>
      </c>
      <c r="Y169" s="14" t="n">
        <v>403060</v>
      </c>
      <c r="Z169" s="14" t="n">
        <v>221683</v>
      </c>
      <c r="AA169" s="14" t="n">
        <v>181377</v>
      </c>
      <c r="AB169" s="15" t="n">
        <v>0.45</v>
      </c>
      <c r="AC169" t="n">
        <v>6</v>
      </c>
      <c r="AD169" t="inlineStr">
        <is>
          <t>PACIFICO|OP-000168|20260805|P-300</t>
        </is>
      </c>
      <c r="AE169" t="n">
        <v>1</v>
      </c>
    </row>
    <row r="170">
      <c r="A170" t="n">
        <v>169</v>
      </c>
      <c r="B170" t="inlineStr">
        <is>
          <t>OP-000169</t>
        </is>
      </c>
      <c r="C170" s="12" t="n">
        <v>46246</v>
      </c>
      <c r="D170" s="13" t="n">
        <v>0.3368055555555556</v>
      </c>
      <c r="E170" t="inlineStr">
        <is>
          <t>C-0030</t>
        </is>
      </c>
      <c r="F170" t="inlineStr">
        <is>
          <t>Cliente 30</t>
        </is>
      </c>
      <c r="G170" t="inlineStr">
        <is>
          <t>P-400</t>
        </is>
      </c>
      <c r="H170" t="inlineStr">
        <is>
          <t>Laptop</t>
        </is>
      </c>
      <c r="I170" t="inlineStr">
        <is>
          <t>Tecnologia</t>
        </is>
      </c>
      <c r="J170" t="inlineStr">
        <is>
          <t>Norte</t>
        </is>
      </c>
      <c r="K170" t="inlineStr">
        <is>
          <t>SUC-02</t>
        </is>
      </c>
      <c r="L170" t="inlineStr">
        <is>
          <t>Tienda</t>
        </is>
      </c>
      <c r="M170" t="inlineStr">
        <is>
          <t>Pendiente</t>
        </is>
      </c>
      <c r="N170" t="inlineStr">
        <is>
          <t>Alta</t>
        </is>
      </c>
      <c r="O170" t="n">
        <v>38</v>
      </c>
      <c r="P170" s="14" t="n">
        <v>11653</v>
      </c>
      <c r="Q170" s="15" t="n">
        <v>0.05</v>
      </c>
      <c r="R170" s="14" t="n">
        <v>6525.68</v>
      </c>
      <c r="S170" s="12" t="n">
        <v>46262</v>
      </c>
      <c r="T170" s="12" t="n">
        <v>46253</v>
      </c>
      <c r="U170" t="inlineStr">
        <is>
          <t>Resp 2</t>
        </is>
      </c>
      <c r="V170" t="inlineStr">
        <is>
          <t>archivo_02.csv</t>
        </is>
      </c>
      <c r="W170" s="14" t="n">
        <v>442814</v>
      </c>
      <c r="X170" s="14" t="n">
        <v>22140.7</v>
      </c>
      <c r="Y170" s="14" t="n">
        <v>420673.3</v>
      </c>
      <c r="Z170" s="14" t="n">
        <v>247975.84</v>
      </c>
      <c r="AA170" s="14" t="n">
        <v>172697.46</v>
      </c>
      <c r="AB170" s="15" t="n">
        <v>0.4105263157894736</v>
      </c>
      <c r="AC170" t="n">
        <v>7</v>
      </c>
      <c r="AD170" t="inlineStr">
        <is>
          <t>NORTE|OP-000169|20260812|P-400</t>
        </is>
      </c>
      <c r="AE170" t="n">
        <v>1</v>
      </c>
    </row>
    <row r="171">
      <c r="A171" t="n">
        <v>170</v>
      </c>
      <c r="B171" t="inlineStr">
        <is>
          <t>OP-000170</t>
        </is>
      </c>
      <c r="C171" s="12" t="n">
        <v>46253</v>
      </c>
      <c r="D171" s="13" t="n">
        <v>0.3819444444444444</v>
      </c>
      <c r="E171" t="inlineStr">
        <is>
          <t>C-0031</t>
        </is>
      </c>
      <c r="F171" t="inlineStr">
        <is>
          <t>Cliente 31</t>
        </is>
      </c>
      <c r="G171" t="inlineStr">
        <is>
          <t>P-500</t>
        </is>
      </c>
      <c r="H171" t="inlineStr">
        <is>
          <t>Dock</t>
        </is>
      </c>
      <c r="I171" t="inlineStr">
        <is>
          <t>Tecnologia</t>
        </is>
      </c>
      <c r="J171" t="inlineStr">
        <is>
          <t>Centro</t>
        </is>
      </c>
      <c r="K171" t="inlineStr">
        <is>
          <t>SUC-03</t>
        </is>
      </c>
      <c r="L171" t="inlineStr">
        <is>
          <t>Distribuidor</t>
        </is>
      </c>
      <c r="M171" t="inlineStr">
        <is>
          <t>Cancelado</t>
        </is>
      </c>
      <c r="N171" t="inlineStr">
        <is>
          <t>Media</t>
        </is>
      </c>
      <c r="O171" t="n">
        <v>41</v>
      </c>
      <c r="P171" s="14" t="n">
        <v>11790</v>
      </c>
      <c r="Q171" s="15" t="n">
        <v>0.1</v>
      </c>
      <c r="R171" s="14" t="n">
        <v>6720.3</v>
      </c>
      <c r="S171" s="12" t="n">
        <v>46260</v>
      </c>
      <c r="T171" s="12" t="n">
        <v>46261</v>
      </c>
      <c r="U171" t="inlineStr">
        <is>
          <t>Resp 3</t>
        </is>
      </c>
      <c r="V171" t="inlineStr">
        <is>
          <t>archivo_03.csv</t>
        </is>
      </c>
      <c r="W171" s="14" t="n">
        <v>483390</v>
      </c>
      <c r="X171" s="14" t="n">
        <v>48339</v>
      </c>
      <c r="Y171" s="14" t="n">
        <v>435051</v>
      </c>
      <c r="Z171" s="14" t="n">
        <v>275532.3</v>
      </c>
      <c r="AA171" s="14" t="n">
        <v>159518.7</v>
      </c>
      <c r="AB171" s="15" t="n">
        <v>0.3666666666666667</v>
      </c>
      <c r="AC171" t="n">
        <v>8</v>
      </c>
      <c r="AD171" t="inlineStr">
        <is>
          <t>CENTRO|OP-000170|20260819|P-500</t>
        </is>
      </c>
      <c r="AE171" t="n">
        <v>1</v>
      </c>
    </row>
    <row r="172">
      <c r="A172" t="n">
        <v>171</v>
      </c>
      <c r="B172" t="inlineStr">
        <is>
          <t>OP-000171</t>
        </is>
      </c>
      <c r="C172" s="12" t="n">
        <v>46260</v>
      </c>
      <c r="D172" s="13" t="n">
        <v>0.4270833333333333</v>
      </c>
      <c r="E172" t="inlineStr">
        <is>
          <t>C-0032</t>
        </is>
      </c>
      <c r="F172" t="inlineStr">
        <is>
          <t>Cliente 32</t>
        </is>
      </c>
      <c r="G172" t="inlineStr">
        <is>
          <t>P-100</t>
        </is>
      </c>
      <c r="H172" t="inlineStr">
        <is>
          <t>Monitor 24</t>
        </is>
      </c>
      <c r="I172" t="inlineStr">
        <is>
          <t>Tecnologia</t>
        </is>
      </c>
      <c r="J172" t="inlineStr">
        <is>
          <t>Sur</t>
        </is>
      </c>
      <c r="K172" t="inlineStr">
        <is>
          <t>SUC-04</t>
        </is>
      </c>
      <c r="L172" t="inlineStr">
        <is>
          <t>Digital</t>
        </is>
      </c>
      <c r="M172" t="inlineStr">
        <is>
          <t>En revision</t>
        </is>
      </c>
      <c r="N172" t="inlineStr">
        <is>
          <t>Baja</t>
        </is>
      </c>
      <c r="O172" t="n">
        <v>44</v>
      </c>
      <c r="P172" s="14" t="n">
        <v>11927</v>
      </c>
      <c r="Q172" s="15" t="n">
        <v>0.15</v>
      </c>
      <c r="R172" s="14" t="n">
        <v>6917.66</v>
      </c>
      <c r="S172" s="12" t="n">
        <v>46268</v>
      </c>
      <c r="T172" s="12" t="n">
        <v>46269</v>
      </c>
      <c r="U172" t="inlineStr">
        <is>
          <t>Resp 4</t>
        </is>
      </c>
      <c r="V172" t="inlineStr">
        <is>
          <t>archivo_04.csv</t>
        </is>
      </c>
      <c r="W172" s="14" t="n">
        <v>524788</v>
      </c>
      <c r="X172" s="14" t="n">
        <v>78718.2</v>
      </c>
      <c r="Y172" s="14" t="n">
        <v>446069.8</v>
      </c>
      <c r="Z172" s="14" t="n">
        <v>304377.04</v>
      </c>
      <c r="AA172" s="14" t="n">
        <v>141692.76</v>
      </c>
      <c r="AB172" s="15" t="n">
        <v>0.3176470588235294</v>
      </c>
      <c r="AC172" t="n">
        <v>9</v>
      </c>
      <c r="AD172" t="inlineStr">
        <is>
          <t>SUR|OP-000171|20260826|P-100</t>
        </is>
      </c>
      <c r="AE172" t="n">
        <v>1</v>
      </c>
    </row>
    <row r="173">
      <c r="A173" t="n">
        <v>172</v>
      </c>
      <c r="B173" t="inlineStr">
        <is>
          <t>OP-000172</t>
        </is>
      </c>
      <c r="C173" s="12" t="n">
        <v>46027</v>
      </c>
      <c r="D173" s="13" t="n">
        <v>0.4722222222222222</v>
      </c>
      <c r="E173" t="inlineStr">
        <is>
          <t>C-0033</t>
        </is>
      </c>
      <c r="F173" t="inlineStr">
        <is>
          <t>Cliente 33</t>
        </is>
      </c>
      <c r="G173" t="inlineStr">
        <is>
          <t>P-200</t>
        </is>
      </c>
      <c r="H173" t="inlineStr">
        <is>
          <t>Teclado</t>
        </is>
      </c>
      <c r="I173" t="inlineStr">
        <is>
          <t>Tecnologia</t>
        </is>
      </c>
      <c r="J173" t="inlineStr">
        <is>
          <t>Pacifico</t>
        </is>
      </c>
      <c r="K173" t="inlineStr">
        <is>
          <t>SUC-05</t>
        </is>
      </c>
      <c r="L173" t="inlineStr">
        <is>
          <t>Tienda</t>
        </is>
      </c>
      <c r="M173" t="inlineStr">
        <is>
          <t>Aprobado</t>
        </is>
      </c>
      <c r="N173" t="inlineStr">
        <is>
          <t>Critica</t>
        </is>
      </c>
      <c r="O173" t="n">
        <v>47</v>
      </c>
      <c r="P173" s="14" t="n">
        <v>12064</v>
      </c>
      <c r="Q173" s="15" t="n">
        <v>0</v>
      </c>
      <c r="R173" s="14" t="n">
        <v>7117.76</v>
      </c>
      <c r="S173" s="12" t="n">
        <v>46036</v>
      </c>
      <c r="T173" s="12" t="n">
        <v>46037</v>
      </c>
      <c r="U173" t="inlineStr">
        <is>
          <t>Resp 5</t>
        </is>
      </c>
      <c r="V173" t="inlineStr">
        <is>
          <t>archivo_05.csv</t>
        </is>
      </c>
      <c r="W173" s="14" t="n">
        <v>567008</v>
      </c>
      <c r="X173" s="14" t="n">
        <v>0</v>
      </c>
      <c r="Y173" s="14" t="n">
        <v>567008</v>
      </c>
      <c r="Z173" s="14" t="n">
        <v>334534.72</v>
      </c>
      <c r="AA173" s="14" t="n">
        <v>232473.28</v>
      </c>
      <c r="AB173" s="15" t="n">
        <v>0.4099999999999999</v>
      </c>
      <c r="AC173" t="n">
        <v>10</v>
      </c>
      <c r="AD173" t="inlineStr">
        <is>
          <t>PACIFICO|OP-000172|20260105|P-200</t>
        </is>
      </c>
      <c r="AE173" t="n">
        <v>1</v>
      </c>
    </row>
    <row r="174">
      <c r="A174" t="n">
        <v>173</v>
      </c>
      <c r="B174" t="inlineStr">
        <is>
          <t>OP-000173</t>
        </is>
      </c>
      <c r="C174" s="12" t="n">
        <v>46034</v>
      </c>
      <c r="D174" s="13" t="n">
        <v>0.5173611111111112</v>
      </c>
      <c r="E174" t="inlineStr">
        <is>
          <t>C-0034</t>
        </is>
      </c>
      <c r="F174" t="inlineStr">
        <is>
          <t>Cliente 34</t>
        </is>
      </c>
      <c r="G174" t="inlineStr">
        <is>
          <t>P-300</t>
        </is>
      </c>
      <c r="H174" t="inlineStr">
        <is>
          <t>Mouse</t>
        </is>
      </c>
      <c r="I174" t="inlineStr">
        <is>
          <t>Tecnologia</t>
        </is>
      </c>
      <c r="J174" t="inlineStr">
        <is>
          <t>Norte</t>
        </is>
      </c>
      <c r="K174" t="inlineStr">
        <is>
          <t>SUC-06</t>
        </is>
      </c>
      <c r="L174" t="inlineStr">
        <is>
          <t>Distribuidor</t>
        </is>
      </c>
      <c r="M174" t="inlineStr">
        <is>
          <t>Pendiente</t>
        </is>
      </c>
      <c r="N174" t="inlineStr">
        <is>
          <t>Alta</t>
        </is>
      </c>
      <c r="O174" t="n">
        <v>3</v>
      </c>
      <c r="P174" s="14" t="n">
        <v>12201</v>
      </c>
      <c r="Q174" s="15" t="n">
        <v>0.05</v>
      </c>
      <c r="R174" s="14" t="n">
        <v>7320.6</v>
      </c>
      <c r="S174" s="12" t="n">
        <v>46044</v>
      </c>
      <c r="T174" s="12" t="n">
        <v>46045</v>
      </c>
      <c r="U174" t="inlineStr">
        <is>
          <t>Resp 6</t>
        </is>
      </c>
      <c r="V174" t="inlineStr">
        <is>
          <t>archivo_06.csv</t>
        </is>
      </c>
      <c r="W174" s="14" t="n">
        <v>36603</v>
      </c>
      <c r="X174" s="14" t="n">
        <v>1830.15</v>
      </c>
      <c r="Y174" s="14" t="n">
        <v>34772.85</v>
      </c>
      <c r="Z174" s="14" t="n">
        <v>21961.8</v>
      </c>
      <c r="AA174" s="14" t="n">
        <v>12811.05</v>
      </c>
      <c r="AB174" s="15" t="n">
        <v>0.3684210526315788</v>
      </c>
      <c r="AC174" t="n">
        <v>11</v>
      </c>
      <c r="AD174" t="inlineStr">
        <is>
          <t>NORTE|OP-000173|20260112|P-300</t>
        </is>
      </c>
      <c r="AE174" t="n">
        <v>1</v>
      </c>
    </row>
    <row r="175">
      <c r="A175" t="n">
        <v>174</v>
      </c>
      <c r="B175" t="inlineStr">
        <is>
          <t>OP-000174</t>
        </is>
      </c>
      <c r="C175" s="12" t="n">
        <v>46041</v>
      </c>
      <c r="D175" s="13" t="n">
        <v>0.5625</v>
      </c>
      <c r="E175" t="inlineStr">
        <is>
          <t>C-0035</t>
        </is>
      </c>
      <c r="F175" t="inlineStr">
        <is>
          <t>Cliente 35</t>
        </is>
      </c>
      <c r="G175" t="inlineStr">
        <is>
          <t>P-400</t>
        </is>
      </c>
      <c r="H175" t="inlineStr">
        <is>
          <t>Laptop</t>
        </is>
      </c>
      <c r="I175" t="inlineStr">
        <is>
          <t>Tecnologia</t>
        </is>
      </c>
      <c r="J175" t="inlineStr">
        <is>
          <t>Centro</t>
        </is>
      </c>
      <c r="K175" t="inlineStr">
        <is>
          <t>SUC-07</t>
        </is>
      </c>
      <c r="L175" t="inlineStr">
        <is>
          <t>Digital</t>
        </is>
      </c>
      <c r="M175" t="inlineStr">
        <is>
          <t>Cancelado</t>
        </is>
      </c>
      <c r="N175" t="inlineStr">
        <is>
          <t>Media</t>
        </is>
      </c>
      <c r="O175" t="n">
        <v>6</v>
      </c>
      <c r="P175" s="14" t="n">
        <v>12338</v>
      </c>
      <c r="Q175" s="15" t="n">
        <v>0.1</v>
      </c>
      <c r="R175" s="14" t="n">
        <v>7526.18</v>
      </c>
      <c r="S175" s="12" t="n">
        <v>46052</v>
      </c>
      <c r="T175" s="12" t="n">
        <v>46053</v>
      </c>
      <c r="U175" t="inlineStr">
        <is>
          <t>Resp 7</t>
        </is>
      </c>
      <c r="V175" t="inlineStr">
        <is>
          <t>archivo_01.csv</t>
        </is>
      </c>
      <c r="W175" s="14" t="n">
        <v>74028</v>
      </c>
      <c r="X175" s="14" t="n">
        <v>7402.8</v>
      </c>
      <c r="Y175" s="14" t="n">
        <v>66625.2</v>
      </c>
      <c r="Z175" s="14" t="n">
        <v>45157.08</v>
      </c>
      <c r="AA175" s="14" t="n">
        <v>21468.12</v>
      </c>
      <c r="AB175" s="15" t="n">
        <v>0.3222222222222222</v>
      </c>
      <c r="AC175" t="n">
        <v>12</v>
      </c>
      <c r="AD175" t="inlineStr">
        <is>
          <t>CENTRO|OP-000174|20260119|P-400</t>
        </is>
      </c>
      <c r="AE175" t="n">
        <v>1</v>
      </c>
    </row>
    <row r="176">
      <c r="A176" t="n">
        <v>175</v>
      </c>
      <c r="B176" t="inlineStr">
        <is>
          <t>OP-000175</t>
        </is>
      </c>
      <c r="C176" s="12" t="n">
        <v>46048</v>
      </c>
      <c r="D176" s="13" t="n">
        <v>0.6076388888888888</v>
      </c>
      <c r="E176" t="inlineStr">
        <is>
          <t>C-0001</t>
        </is>
      </c>
      <c r="F176" t="inlineStr">
        <is>
          <t>Cliente 1</t>
        </is>
      </c>
      <c r="G176" t="inlineStr">
        <is>
          <t>P-500</t>
        </is>
      </c>
      <c r="H176" t="inlineStr">
        <is>
          <t>Dock</t>
        </is>
      </c>
      <c r="I176" t="inlineStr">
        <is>
          <t>Tecnologia</t>
        </is>
      </c>
      <c r="J176" t="inlineStr">
        <is>
          <t>Sur</t>
        </is>
      </c>
      <c r="K176" t="inlineStr">
        <is>
          <t>SUC-08</t>
        </is>
      </c>
      <c r="L176" t="inlineStr">
        <is>
          <t>Tienda</t>
        </is>
      </c>
      <c r="M176" t="inlineStr">
        <is>
          <t>En revision</t>
        </is>
      </c>
      <c r="N176" t="inlineStr">
        <is>
          <t>Baja</t>
        </is>
      </c>
      <c r="O176" t="n">
        <v>9</v>
      </c>
      <c r="P176" s="14" t="n">
        <v>12475</v>
      </c>
      <c r="Q176" s="15" t="n">
        <v>0.15</v>
      </c>
      <c r="R176" s="14" t="n">
        <v>7734.5</v>
      </c>
      <c r="S176" s="12" t="n">
        <v>46060</v>
      </c>
      <c r="T176" s="12" t="n">
        <v>46061</v>
      </c>
      <c r="U176" t="inlineStr">
        <is>
          <t>Resp 8</t>
        </is>
      </c>
      <c r="V176" t="inlineStr">
        <is>
          <t>archivo_02.csv</t>
        </is>
      </c>
      <c r="W176" s="14" t="n">
        <v>112275</v>
      </c>
      <c r="X176" s="14" t="n">
        <v>16841.25</v>
      </c>
      <c r="Y176" s="14" t="n">
        <v>95433.75</v>
      </c>
      <c r="Z176" s="14" t="n">
        <v>69610.5</v>
      </c>
      <c r="AA176" s="14" t="n">
        <v>25823.25</v>
      </c>
      <c r="AB176" s="15" t="n">
        <v>0.2705882352941176</v>
      </c>
      <c r="AC176" t="n">
        <v>13</v>
      </c>
      <c r="AD176" t="inlineStr">
        <is>
          <t>SUR|OP-000175|20260126|P-500</t>
        </is>
      </c>
      <c r="AE176" t="n">
        <v>1</v>
      </c>
    </row>
    <row r="177">
      <c r="A177" t="n">
        <v>176</v>
      </c>
      <c r="B177" t="inlineStr">
        <is>
          <t>OP-000176</t>
        </is>
      </c>
      <c r="C177" s="12" t="n">
        <v>46055</v>
      </c>
      <c r="D177" s="13" t="n">
        <v>0.6527777777777778</v>
      </c>
      <c r="E177" t="inlineStr">
        <is>
          <t>C-0002</t>
        </is>
      </c>
      <c r="F177" t="inlineStr">
        <is>
          <t>Cliente 2</t>
        </is>
      </c>
      <c r="G177" t="inlineStr">
        <is>
          <t>P-100</t>
        </is>
      </c>
      <c r="H177" t="inlineStr">
        <is>
          <t>Monitor 24</t>
        </is>
      </c>
      <c r="I177" t="inlineStr">
        <is>
          <t>Tecnologia</t>
        </is>
      </c>
      <c r="J177" t="inlineStr">
        <is>
          <t>Pacifico</t>
        </is>
      </c>
      <c r="K177" t="inlineStr">
        <is>
          <t>SUC-01</t>
        </is>
      </c>
      <c r="L177" t="inlineStr">
        <is>
          <t>Distribuidor</t>
        </is>
      </c>
      <c r="M177" t="inlineStr">
        <is>
          <t>Aprobado</t>
        </is>
      </c>
      <c r="N177" t="inlineStr">
        <is>
          <t>Critica</t>
        </is>
      </c>
      <c r="O177" t="n">
        <v>12</v>
      </c>
      <c r="P177" s="14" t="n">
        <v>612</v>
      </c>
      <c r="Q177" s="15" t="n">
        <v>0</v>
      </c>
      <c r="R177" s="14" t="n">
        <v>336.6</v>
      </c>
      <c r="S177" s="12" t="n">
        <v>46068</v>
      </c>
      <c r="T177" s="12" t="n">
        <v>46069</v>
      </c>
      <c r="U177" t="inlineStr">
        <is>
          <t>Resp 9</t>
        </is>
      </c>
      <c r="V177" t="inlineStr">
        <is>
          <t>archivo_03.csv</t>
        </is>
      </c>
      <c r="W177" s="14" t="n">
        <v>7344</v>
      </c>
      <c r="X177" s="14" t="n">
        <v>0</v>
      </c>
      <c r="Y177" s="14" t="n">
        <v>7344</v>
      </c>
      <c r="Z177" s="14" t="n">
        <v>4039.2</v>
      </c>
      <c r="AA177" s="14" t="n">
        <v>3304.8</v>
      </c>
      <c r="AB177" s="15" t="n">
        <v>0.45</v>
      </c>
      <c r="AC177" t="n">
        <v>14</v>
      </c>
      <c r="AD177" t="inlineStr">
        <is>
          <t>PACIFICO|OP-000176|20260202|P-100</t>
        </is>
      </c>
      <c r="AE177" t="n">
        <v>1</v>
      </c>
    </row>
    <row r="178">
      <c r="A178" t="n">
        <v>177</v>
      </c>
      <c r="B178" t="inlineStr">
        <is>
          <t>OP-000177</t>
        </is>
      </c>
      <c r="C178" s="12" t="n">
        <v>46062</v>
      </c>
      <c r="D178" s="13" t="n">
        <v>0.6979166666666666</v>
      </c>
      <c r="E178" t="inlineStr">
        <is>
          <t>C-0003</t>
        </is>
      </c>
      <c r="F178" t="inlineStr">
        <is>
          <t>Cliente 3</t>
        </is>
      </c>
      <c r="G178" t="inlineStr">
        <is>
          <t>P-200</t>
        </is>
      </c>
      <c r="H178" t="inlineStr">
        <is>
          <t>Teclado</t>
        </is>
      </c>
      <c r="I178" t="inlineStr">
        <is>
          <t>Tecnologia</t>
        </is>
      </c>
      <c r="J178" t="inlineStr">
        <is>
          <t>Norte</t>
        </is>
      </c>
      <c r="K178" t="inlineStr">
        <is>
          <t>SUC-02</t>
        </is>
      </c>
      <c r="L178" t="inlineStr">
        <is>
          <t>Digital</t>
        </is>
      </c>
      <c r="M178" t="inlineStr">
        <is>
          <t>Pendiente</t>
        </is>
      </c>
      <c r="N178" t="inlineStr">
        <is>
          <t>Alta</t>
        </is>
      </c>
      <c r="O178" t="n">
        <v>15</v>
      </c>
      <c r="P178" s="14" t="n">
        <v>749</v>
      </c>
      <c r="Q178" s="15" t="n">
        <v>0.05</v>
      </c>
      <c r="R178" s="14" t="n">
        <v>419.44</v>
      </c>
      <c r="S178" s="12" t="n">
        <v>46076</v>
      </c>
      <c r="T178" s="12" t="n">
        <v>46077</v>
      </c>
      <c r="U178" t="inlineStr">
        <is>
          <t>Resp 10</t>
        </is>
      </c>
      <c r="V178" t="inlineStr">
        <is>
          <t>archivo_04.csv</t>
        </is>
      </c>
      <c r="W178" s="14" t="n">
        <v>11235</v>
      </c>
      <c r="X178" s="14" t="n">
        <v>561.75</v>
      </c>
      <c r="Y178" s="14" t="n">
        <v>10673.25</v>
      </c>
      <c r="Z178" s="14" t="n">
        <v>6291.6</v>
      </c>
      <c r="AA178" s="14" t="n">
        <v>4381.65</v>
      </c>
      <c r="AB178" s="15" t="n">
        <v>0.4105263157894736</v>
      </c>
      <c r="AC178" t="n">
        <v>15</v>
      </c>
      <c r="AD178" t="inlineStr">
        <is>
          <t>NORTE|OP-000177|20260209|P-200</t>
        </is>
      </c>
      <c r="AE178" t="n">
        <v>1</v>
      </c>
    </row>
    <row r="179">
      <c r="A179" t="n">
        <v>178</v>
      </c>
      <c r="B179" t="inlineStr">
        <is>
          <t>OP-000178</t>
        </is>
      </c>
      <c r="C179" s="12" t="n">
        <v>46069</v>
      </c>
      <c r="D179" s="13" t="n">
        <v>0.7430555555555556</v>
      </c>
      <c r="E179" t="inlineStr">
        <is>
          <t>C-0004</t>
        </is>
      </c>
      <c r="F179" t="inlineStr">
        <is>
          <t>Cliente 4</t>
        </is>
      </c>
      <c r="G179" t="inlineStr">
        <is>
          <t>P-300</t>
        </is>
      </c>
      <c r="H179" t="inlineStr">
        <is>
          <t>Mouse</t>
        </is>
      </c>
      <c r="I179" t="inlineStr">
        <is>
          <t>Tecnologia</t>
        </is>
      </c>
      <c r="J179" t="inlineStr">
        <is>
          <t>Centro</t>
        </is>
      </c>
      <c r="K179" t="inlineStr">
        <is>
          <t>SUC-03</t>
        </is>
      </c>
      <c r="L179" t="inlineStr">
        <is>
          <t>Tienda</t>
        </is>
      </c>
      <c r="M179" t="inlineStr">
        <is>
          <t>Cancelado</t>
        </is>
      </c>
      <c r="N179" t="inlineStr">
        <is>
          <t>Media</t>
        </is>
      </c>
      <c r="O179" t="n">
        <v>18</v>
      </c>
      <c r="P179" s="14" t="n">
        <v>886</v>
      </c>
      <c r="Q179" s="15" t="n">
        <v>0.1</v>
      </c>
      <c r="R179" s="14" t="n">
        <v>505.02</v>
      </c>
      <c r="S179" s="12" t="n">
        <v>46084</v>
      </c>
      <c r="T179" s="12" t="n">
        <v>46085</v>
      </c>
      <c r="U179" t="inlineStr">
        <is>
          <t>Resp 11</t>
        </is>
      </c>
      <c r="V179" t="inlineStr">
        <is>
          <t>archivo_05.csv</t>
        </is>
      </c>
      <c r="W179" s="14" t="n">
        <v>15948</v>
      </c>
      <c r="X179" s="14" t="n">
        <v>1594.8</v>
      </c>
      <c r="Y179" s="14" t="n">
        <v>14353.2</v>
      </c>
      <c r="Z179" s="14" t="n">
        <v>9090.360000000001</v>
      </c>
      <c r="AA179" s="14" t="n">
        <v>5262.84</v>
      </c>
      <c r="AB179" s="15" t="n">
        <v>0.3666666666666666</v>
      </c>
      <c r="AC179" t="n">
        <v>16</v>
      </c>
      <c r="AD179" t="inlineStr">
        <is>
          <t>CENTRO|OP-000178|20260216|P-300</t>
        </is>
      </c>
      <c r="AE179" t="n">
        <v>1</v>
      </c>
    </row>
    <row r="180">
      <c r="A180" t="n">
        <v>179</v>
      </c>
      <c r="B180" t="inlineStr">
        <is>
          <t>OP-000179</t>
        </is>
      </c>
      <c r="C180" s="12" t="n">
        <v>46076</v>
      </c>
      <c r="D180" s="13" t="n">
        <v>0.7881944444444444</v>
      </c>
      <c r="E180" t="inlineStr">
        <is>
          <t>C-0005</t>
        </is>
      </c>
      <c r="F180" t="inlineStr">
        <is>
          <t>Cliente 5</t>
        </is>
      </c>
      <c r="G180" t="inlineStr">
        <is>
          <t>P-400</t>
        </is>
      </c>
      <c r="H180" t="inlineStr">
        <is>
          <t>Laptop</t>
        </is>
      </c>
      <c r="I180" t="inlineStr">
        <is>
          <t>Tecnologia</t>
        </is>
      </c>
      <c r="J180" t="inlineStr">
        <is>
          <t>Sur</t>
        </is>
      </c>
      <c r="K180" t="inlineStr">
        <is>
          <t>SUC-04</t>
        </is>
      </c>
      <c r="L180" t="inlineStr">
        <is>
          <t>Distribuidor</t>
        </is>
      </c>
      <c r="M180" t="inlineStr">
        <is>
          <t>En revision</t>
        </is>
      </c>
      <c r="N180" t="inlineStr">
        <is>
          <t>Baja</t>
        </is>
      </c>
      <c r="O180" t="n">
        <v>21</v>
      </c>
      <c r="P180" s="14" t="n">
        <v>1023</v>
      </c>
      <c r="Q180" s="15" t="n">
        <v>0.15</v>
      </c>
      <c r="R180" s="14" t="n">
        <v>593.34</v>
      </c>
      <c r="S180" s="12" t="n">
        <v>46092</v>
      </c>
      <c r="T180" s="12" t="n">
        <v>46093</v>
      </c>
      <c r="U180" t="inlineStr">
        <is>
          <t>Resp 12</t>
        </is>
      </c>
      <c r="V180" t="inlineStr">
        <is>
          <t>archivo_06.csv</t>
        </is>
      </c>
      <c r="W180" s="14" t="n">
        <v>21483</v>
      </c>
      <c r="X180" s="14" t="n">
        <v>3222.45</v>
      </c>
      <c r="Y180" s="14" t="n">
        <v>18260.55</v>
      </c>
      <c r="Z180" s="14" t="n">
        <v>12460.14</v>
      </c>
      <c r="AA180" s="14" t="n">
        <v>5800.409999999998</v>
      </c>
      <c r="AB180" s="15" t="n">
        <v>0.3176470588235293</v>
      </c>
      <c r="AC180" t="n">
        <v>17</v>
      </c>
      <c r="AD180" t="inlineStr">
        <is>
          <t>SUR|OP-000179|20260223|P-400</t>
        </is>
      </c>
      <c r="AE180" t="n">
        <v>1</v>
      </c>
    </row>
    <row r="181">
      <c r="A181" t="n">
        <v>180</v>
      </c>
      <c r="B181" t="inlineStr">
        <is>
          <t>OP-000180</t>
        </is>
      </c>
      <c r="C181" s="12" t="n">
        <v>46083</v>
      </c>
      <c r="D181" s="13" t="n">
        <v>0.2916666666666667</v>
      </c>
      <c r="E181" t="inlineStr">
        <is>
          <t>C-0006</t>
        </is>
      </c>
      <c r="F181" t="inlineStr">
        <is>
          <t>Cliente 6</t>
        </is>
      </c>
      <c r="G181" t="inlineStr">
        <is>
          <t>P-500</t>
        </is>
      </c>
      <c r="H181" t="inlineStr">
        <is>
          <t>Dock</t>
        </is>
      </c>
      <c r="I181" t="inlineStr">
        <is>
          <t>Tecnologia</t>
        </is>
      </c>
      <c r="J181" t="inlineStr">
        <is>
          <t>Pacifico</t>
        </is>
      </c>
      <c r="K181" t="inlineStr">
        <is>
          <t>SUC-05</t>
        </is>
      </c>
      <c r="L181" t="inlineStr">
        <is>
          <t>Digital</t>
        </is>
      </c>
      <c r="M181" t="inlineStr">
        <is>
          <t>Aprobado</t>
        </is>
      </c>
      <c r="N181" t="inlineStr">
        <is>
          <t>Critica</t>
        </is>
      </c>
      <c r="O181" t="n">
        <v>24</v>
      </c>
      <c r="P181" s="14" t="n">
        <v>1160</v>
      </c>
      <c r="Q181" s="15" t="n">
        <v>0</v>
      </c>
      <c r="R181" s="14" t="n">
        <v>684.4</v>
      </c>
      <c r="S181" s="12" t="n">
        <v>46090</v>
      </c>
      <c r="T181" s="12" t="n">
        <v>46086</v>
      </c>
      <c r="U181" t="inlineStr">
        <is>
          <t>Resp 1</t>
        </is>
      </c>
      <c r="V181" t="inlineStr">
        <is>
          <t>archivo_01.csv</t>
        </is>
      </c>
      <c r="W181" s="14" t="n">
        <v>27840</v>
      </c>
      <c r="X181" s="14" t="n">
        <v>0</v>
      </c>
      <c r="Y181" s="14" t="n">
        <v>27840</v>
      </c>
      <c r="Z181" s="14" t="n">
        <v>16425.6</v>
      </c>
      <c r="AA181" s="14" t="n">
        <v>11414.4</v>
      </c>
      <c r="AB181" s="15" t="n">
        <v>0.41</v>
      </c>
      <c r="AC181" t="n">
        <v>3</v>
      </c>
      <c r="AD181" t="inlineStr">
        <is>
          <t>PACIFICO|OP-000180|20260302|P-500</t>
        </is>
      </c>
      <c r="AE181" t="n">
        <v>1</v>
      </c>
    </row>
    <row r="182">
      <c r="A182" t="n">
        <v>181</v>
      </c>
      <c r="B182" t="inlineStr">
        <is>
          <t>OP-000181</t>
        </is>
      </c>
      <c r="C182" s="12" t="n">
        <v>46090</v>
      </c>
      <c r="D182" s="13" t="n">
        <v>0.3368055555555556</v>
      </c>
      <c r="E182" t="inlineStr">
        <is>
          <t>C-0007</t>
        </is>
      </c>
      <c r="F182" t="inlineStr">
        <is>
          <t>Cliente 7</t>
        </is>
      </c>
      <c r="G182" t="inlineStr">
        <is>
          <t>P-100</t>
        </is>
      </c>
      <c r="H182" t="inlineStr">
        <is>
          <t>Monitor 24</t>
        </is>
      </c>
      <c r="I182" t="inlineStr">
        <is>
          <t>Tecnologia</t>
        </is>
      </c>
      <c r="J182" t="inlineStr">
        <is>
          <t>Norte</t>
        </is>
      </c>
      <c r="K182" t="inlineStr">
        <is>
          <t>SUC-06</t>
        </is>
      </c>
      <c r="L182" t="inlineStr">
        <is>
          <t>Tienda</t>
        </is>
      </c>
      <c r="M182" t="inlineStr">
        <is>
          <t>Pendiente</t>
        </is>
      </c>
      <c r="N182" t="inlineStr">
        <is>
          <t>Alta</t>
        </is>
      </c>
      <c r="O182" t="n">
        <v>27</v>
      </c>
      <c r="P182" s="14" t="n">
        <v>1297</v>
      </c>
      <c r="Q182" s="15" t="n">
        <v>0.05</v>
      </c>
      <c r="R182" s="14" t="n">
        <v>778.2</v>
      </c>
      <c r="S182" s="12" t="n">
        <v>46098</v>
      </c>
      <c r="T182" s="12" t="n">
        <v>46094</v>
      </c>
      <c r="U182" t="inlineStr">
        <is>
          <t>Resp 2</t>
        </is>
      </c>
      <c r="V182" t="inlineStr">
        <is>
          <t>archivo_02.csv</t>
        </is>
      </c>
      <c r="W182" s="14" t="n">
        <v>35019</v>
      </c>
      <c r="X182" s="14" t="n">
        <v>1750.95</v>
      </c>
      <c r="Y182" s="14" t="n">
        <v>33268.05</v>
      </c>
      <c r="Z182" s="14" t="n">
        <v>21011.4</v>
      </c>
      <c r="AA182" s="14" t="n">
        <v>12256.65</v>
      </c>
      <c r="AB182" s="15" t="n">
        <v>0.368421052631579</v>
      </c>
      <c r="AC182" t="n">
        <v>4</v>
      </c>
      <c r="AD182" t="inlineStr">
        <is>
          <t>NORTE|OP-000181|20260309|P-100</t>
        </is>
      </c>
      <c r="AE182" t="n">
        <v>1</v>
      </c>
    </row>
    <row r="183">
      <c r="A183" t="n">
        <v>182</v>
      </c>
      <c r="B183" t="inlineStr">
        <is>
          <t>OP-000182</t>
        </is>
      </c>
      <c r="C183" s="12" t="n">
        <v>46097</v>
      </c>
      <c r="D183" s="13" t="n">
        <v>0.3819444444444444</v>
      </c>
      <c r="E183" t="inlineStr">
        <is>
          <t>C-0008</t>
        </is>
      </c>
      <c r="F183" t="inlineStr">
        <is>
          <t>Cliente 8</t>
        </is>
      </c>
      <c r="G183" t="inlineStr">
        <is>
          <t>P-200</t>
        </is>
      </c>
      <c r="H183" t="inlineStr">
        <is>
          <t>Teclado</t>
        </is>
      </c>
      <c r="I183" t="inlineStr">
        <is>
          <t>Tecnologia</t>
        </is>
      </c>
      <c r="J183" t="inlineStr">
        <is>
          <t>Centro</t>
        </is>
      </c>
      <c r="K183" t="inlineStr">
        <is>
          <t>SUC-07</t>
        </is>
      </c>
      <c r="L183" t="inlineStr">
        <is>
          <t>Distribuidor</t>
        </is>
      </c>
      <c r="M183" t="inlineStr">
        <is>
          <t>Cancelado</t>
        </is>
      </c>
      <c r="N183" t="inlineStr">
        <is>
          <t>Media</t>
        </is>
      </c>
      <c r="O183" t="n">
        <v>30</v>
      </c>
      <c r="P183" s="14" t="n">
        <v>1434</v>
      </c>
      <c r="Q183" s="15" t="n">
        <v>0.1</v>
      </c>
      <c r="R183" s="14" t="n">
        <v>874.74</v>
      </c>
      <c r="S183" s="12" t="n">
        <v>46106</v>
      </c>
      <c r="T183" s="12" t="n">
        <v>46102</v>
      </c>
      <c r="U183" t="inlineStr">
        <is>
          <t>Resp 3</t>
        </is>
      </c>
      <c r="V183" t="inlineStr">
        <is>
          <t>archivo_03.csv</t>
        </is>
      </c>
      <c r="W183" s="14" t="n">
        <v>43020</v>
      </c>
      <c r="X183" s="14" t="n">
        <v>4302</v>
      </c>
      <c r="Y183" s="14" t="n">
        <v>38718</v>
      </c>
      <c r="Z183" s="14" t="n">
        <v>26242.2</v>
      </c>
      <c r="AA183" s="14" t="n">
        <v>12475.8</v>
      </c>
      <c r="AB183" s="15" t="n">
        <v>0.3222222222222222</v>
      </c>
      <c r="AC183" t="n">
        <v>5</v>
      </c>
      <c r="AD183" t="inlineStr">
        <is>
          <t>CENTRO|OP-000182|20260316|P-200</t>
        </is>
      </c>
      <c r="AE183" t="n">
        <v>1</v>
      </c>
    </row>
    <row r="184">
      <c r="A184" t="n">
        <v>183</v>
      </c>
      <c r="B184" t="inlineStr">
        <is>
          <t>OP-000183</t>
        </is>
      </c>
      <c r="C184" s="12" t="n">
        <v>46104</v>
      </c>
      <c r="D184" s="13" t="n">
        <v>0.4270833333333333</v>
      </c>
      <c r="E184" t="inlineStr">
        <is>
          <t>C-0009</t>
        </is>
      </c>
      <c r="F184" t="inlineStr">
        <is>
          <t>Cliente 9</t>
        </is>
      </c>
      <c r="G184" t="inlineStr">
        <is>
          <t>P-300</t>
        </is>
      </c>
      <c r="H184" t="inlineStr">
        <is>
          <t>Mouse</t>
        </is>
      </c>
      <c r="I184" t="inlineStr">
        <is>
          <t>Tecnologia</t>
        </is>
      </c>
      <c r="J184" t="inlineStr">
        <is>
          <t>Sur</t>
        </is>
      </c>
      <c r="K184" t="inlineStr">
        <is>
          <t>SUC-08</t>
        </is>
      </c>
      <c r="L184" t="inlineStr">
        <is>
          <t>Digital</t>
        </is>
      </c>
      <c r="M184" t="inlineStr">
        <is>
          <t>En revision</t>
        </is>
      </c>
      <c r="N184" t="inlineStr">
        <is>
          <t>Baja</t>
        </is>
      </c>
      <c r="O184" t="n">
        <v>33</v>
      </c>
      <c r="P184" s="14" t="n">
        <v>1571</v>
      </c>
      <c r="Q184" s="15" t="n">
        <v>0.15</v>
      </c>
      <c r="R184" s="14" t="n">
        <v>974.02</v>
      </c>
      <c r="S184" s="12" t="n">
        <v>46114</v>
      </c>
      <c r="T184" s="12" t="n">
        <v>46110</v>
      </c>
      <c r="U184" t="inlineStr">
        <is>
          <t>Resp 4</t>
        </is>
      </c>
      <c r="V184" t="inlineStr">
        <is>
          <t>archivo_04.csv</t>
        </is>
      </c>
      <c r="W184" s="14" t="n">
        <v>51843</v>
      </c>
      <c r="X184" s="14" t="n">
        <v>7776.45</v>
      </c>
      <c r="Y184" s="14" t="n">
        <v>44066.55</v>
      </c>
      <c r="Z184" s="14" t="n">
        <v>32142.66</v>
      </c>
      <c r="AA184" s="14" t="n">
        <v>11923.89</v>
      </c>
      <c r="AB184" s="15" t="n">
        <v>0.2705882352941177</v>
      </c>
      <c r="AC184" t="n">
        <v>6</v>
      </c>
      <c r="AD184" t="inlineStr">
        <is>
          <t>SUR|OP-000183|20260323|P-300</t>
        </is>
      </c>
      <c r="AE184" t="n">
        <v>1</v>
      </c>
    </row>
    <row r="185">
      <c r="A185" t="n">
        <v>184</v>
      </c>
      <c r="B185" t="inlineStr">
        <is>
          <t>OP-000184</t>
        </is>
      </c>
      <c r="C185" s="12" t="n">
        <v>46111</v>
      </c>
      <c r="D185" s="13" t="n">
        <v>0.4722222222222222</v>
      </c>
      <c r="E185" t="inlineStr">
        <is>
          <t>C-0010</t>
        </is>
      </c>
      <c r="F185" t="inlineStr">
        <is>
          <t>Cliente 10</t>
        </is>
      </c>
      <c r="G185" t="inlineStr">
        <is>
          <t>P-400</t>
        </is>
      </c>
      <c r="H185" t="inlineStr">
        <is>
          <t>Laptop</t>
        </is>
      </c>
      <c r="I185" t="inlineStr">
        <is>
          <t>Tecnologia</t>
        </is>
      </c>
      <c r="J185" t="inlineStr">
        <is>
          <t>Pacifico</t>
        </is>
      </c>
      <c r="K185" t="inlineStr">
        <is>
          <t>SUC-01</t>
        </is>
      </c>
      <c r="L185" t="inlineStr">
        <is>
          <t>Tienda</t>
        </is>
      </c>
      <c r="M185" t="inlineStr">
        <is>
          <t>Aprobado</t>
        </is>
      </c>
      <c r="N185" t="inlineStr">
        <is>
          <t>Critica</t>
        </is>
      </c>
      <c r="O185" t="n">
        <v>36</v>
      </c>
      <c r="P185" s="14" t="n">
        <v>1708</v>
      </c>
      <c r="Q185" s="15" t="n">
        <v>0</v>
      </c>
      <c r="R185" s="14" t="n">
        <v>939.4</v>
      </c>
      <c r="S185" s="12" t="n">
        <v>46122</v>
      </c>
      <c r="T185" s="12" t="n">
        <v>46118</v>
      </c>
      <c r="U185" t="inlineStr">
        <is>
          <t>Resp 5</t>
        </is>
      </c>
      <c r="V185" t="inlineStr">
        <is>
          <t>archivo_05.csv</t>
        </is>
      </c>
      <c r="W185" s="14" t="n">
        <v>61488</v>
      </c>
      <c r="X185" s="14" t="n">
        <v>0</v>
      </c>
      <c r="Y185" s="14" t="n">
        <v>61488</v>
      </c>
      <c r="Z185" s="14" t="n">
        <v>33818.4</v>
      </c>
      <c r="AA185" s="14" t="n">
        <v>27669.6</v>
      </c>
      <c r="AB185" s="15" t="n">
        <v>0.45</v>
      </c>
      <c r="AC185" t="n">
        <v>7</v>
      </c>
      <c r="AD185" t="inlineStr">
        <is>
          <t>PACIFICO|OP-000184|20260330|P-400</t>
        </is>
      </c>
      <c r="AE185" t="n">
        <v>1</v>
      </c>
    </row>
    <row r="186">
      <c r="A186" t="n">
        <v>185</v>
      </c>
      <c r="B186" t="inlineStr">
        <is>
          <t>OP-000185</t>
        </is>
      </c>
      <c r="C186" s="12" t="n">
        <v>46118</v>
      </c>
      <c r="D186" s="13" t="n">
        <v>0.5173611111111112</v>
      </c>
      <c r="E186" t="inlineStr">
        <is>
          <t>C-0011</t>
        </is>
      </c>
      <c r="F186" t="inlineStr">
        <is>
          <t>Cliente 11</t>
        </is>
      </c>
      <c r="G186" t="inlineStr">
        <is>
          <t>P-500</t>
        </is>
      </c>
      <c r="H186" t="inlineStr">
        <is>
          <t>Dock</t>
        </is>
      </c>
      <c r="I186" t="inlineStr">
        <is>
          <t>Tecnologia</t>
        </is>
      </c>
      <c r="J186" t="inlineStr">
        <is>
          <t>Norte</t>
        </is>
      </c>
      <c r="K186" t="inlineStr">
        <is>
          <t>SUC-02</t>
        </is>
      </c>
      <c r="L186" t="inlineStr">
        <is>
          <t>Distribuidor</t>
        </is>
      </c>
      <c r="M186" t="inlineStr">
        <is>
          <t>Pendiente</t>
        </is>
      </c>
      <c r="N186" t="inlineStr">
        <is>
          <t>Alta</t>
        </is>
      </c>
      <c r="O186" t="n">
        <v>39</v>
      </c>
      <c r="P186" s="14" t="n">
        <v>1845</v>
      </c>
      <c r="Q186" s="15" t="n">
        <v>0.05</v>
      </c>
      <c r="R186" s="14" t="n">
        <v>1033.2</v>
      </c>
      <c r="S186" s="12" t="n">
        <v>46130</v>
      </c>
      <c r="T186" s="12" t="n">
        <v>46126</v>
      </c>
      <c r="U186" t="inlineStr">
        <is>
          <t>Resp 6</t>
        </is>
      </c>
      <c r="V186" t="inlineStr">
        <is>
          <t>archivo_06.csv</t>
        </is>
      </c>
      <c r="W186" s="14" t="n">
        <v>71955</v>
      </c>
      <c r="X186" s="14" t="n">
        <v>3597.75</v>
      </c>
      <c r="Y186" s="14" t="n">
        <v>68357.25</v>
      </c>
      <c r="Z186" s="14" t="n">
        <v>40294.8</v>
      </c>
      <c r="AA186" s="14" t="n">
        <v>28062.45</v>
      </c>
      <c r="AB186" s="15" t="n">
        <v>0.4105263157894736</v>
      </c>
      <c r="AC186" t="n">
        <v>8</v>
      </c>
      <c r="AD186" t="inlineStr">
        <is>
          <t>NORTE|OP-000185|20260406|P-500</t>
        </is>
      </c>
      <c r="AE186" t="n">
        <v>1</v>
      </c>
    </row>
    <row r="187">
      <c r="A187" t="n">
        <v>186</v>
      </c>
      <c r="B187" t="inlineStr">
        <is>
          <t>OP-000186</t>
        </is>
      </c>
      <c r="C187" s="12" t="n">
        <v>46125</v>
      </c>
      <c r="D187" s="13" t="n">
        <v>0.5625</v>
      </c>
      <c r="E187" t="inlineStr">
        <is>
          <t>C-0012</t>
        </is>
      </c>
      <c r="F187" t="inlineStr">
        <is>
          <t>Cliente 12</t>
        </is>
      </c>
      <c r="G187" t="inlineStr">
        <is>
          <t>P-100</t>
        </is>
      </c>
      <c r="H187" t="inlineStr">
        <is>
          <t>Monitor 24</t>
        </is>
      </c>
      <c r="I187" t="inlineStr">
        <is>
          <t>Tecnologia</t>
        </is>
      </c>
      <c r="J187" t="inlineStr">
        <is>
          <t>Centro</t>
        </is>
      </c>
      <c r="K187" t="inlineStr">
        <is>
          <t>SUC-03</t>
        </is>
      </c>
      <c r="L187" t="inlineStr">
        <is>
          <t>Digital</t>
        </is>
      </c>
      <c r="M187" t="inlineStr">
        <is>
          <t>Cancelado</t>
        </is>
      </c>
      <c r="N187" t="inlineStr">
        <is>
          <t>Media</t>
        </is>
      </c>
      <c r="O187" t="n">
        <v>42</v>
      </c>
      <c r="P187" s="14" t="n">
        <v>1982</v>
      </c>
      <c r="Q187" s="15" t="n">
        <v>0.1</v>
      </c>
      <c r="R187" s="14" t="n">
        <v>1129.74</v>
      </c>
      <c r="S187" s="12" t="n">
        <v>46138</v>
      </c>
      <c r="T187" s="12" t="n">
        <v>46134</v>
      </c>
      <c r="U187" t="inlineStr">
        <is>
          <t>Resp 7</t>
        </is>
      </c>
      <c r="V187" t="inlineStr">
        <is>
          <t>archivo_01.csv</t>
        </is>
      </c>
      <c r="W187" s="14" t="n">
        <v>83244</v>
      </c>
      <c r="X187" s="14" t="n">
        <v>8324.4</v>
      </c>
      <c r="Y187" s="14" t="n">
        <v>74919.60000000001</v>
      </c>
      <c r="Z187" s="14" t="n">
        <v>47449.08</v>
      </c>
      <c r="AA187" s="14" t="n">
        <v>27470.52</v>
      </c>
      <c r="AB187" s="15" t="n">
        <v>0.3666666666666667</v>
      </c>
      <c r="AC187" t="n">
        <v>9</v>
      </c>
      <c r="AD187" t="inlineStr">
        <is>
          <t>CENTRO|OP-000186|20260413|P-100</t>
        </is>
      </c>
      <c r="AE187" t="n">
        <v>1</v>
      </c>
    </row>
    <row r="188">
      <c r="A188" t="n">
        <v>187</v>
      </c>
      <c r="B188" t="inlineStr">
        <is>
          <t>OP-000187</t>
        </is>
      </c>
      <c r="C188" s="12" t="n">
        <v>46132</v>
      </c>
      <c r="D188" s="13" t="n">
        <v>0.6076388888888888</v>
      </c>
      <c r="E188" t="inlineStr">
        <is>
          <t>C-0013</t>
        </is>
      </c>
      <c r="F188" t="inlineStr">
        <is>
          <t>Cliente 13</t>
        </is>
      </c>
      <c r="G188" t="inlineStr">
        <is>
          <t>P-200</t>
        </is>
      </c>
      <c r="H188" t="inlineStr">
        <is>
          <t>Teclado</t>
        </is>
      </c>
      <c r="I188" t="inlineStr">
        <is>
          <t>Tecnologia</t>
        </is>
      </c>
      <c r="J188" t="inlineStr">
        <is>
          <t>Sur</t>
        </is>
      </c>
      <c r="K188" t="inlineStr">
        <is>
          <t>SUC-04</t>
        </is>
      </c>
      <c r="L188" t="inlineStr">
        <is>
          <t>Tienda</t>
        </is>
      </c>
      <c r="M188" t="inlineStr">
        <is>
          <t>En revision</t>
        </is>
      </c>
      <c r="N188" t="inlineStr">
        <is>
          <t>Baja</t>
        </is>
      </c>
      <c r="O188" t="n">
        <v>45</v>
      </c>
      <c r="P188" s="14" t="n">
        <v>2119</v>
      </c>
      <c r="Q188" s="15" t="n">
        <v>0.15</v>
      </c>
      <c r="R188" s="14" t="n">
        <v>1229.02</v>
      </c>
      <c r="S188" s="12" t="n">
        <v>46146</v>
      </c>
      <c r="T188" s="12" t="n">
        <v>46142</v>
      </c>
      <c r="U188" t="inlineStr">
        <is>
          <t>Resp 8</t>
        </is>
      </c>
      <c r="V188" t="inlineStr">
        <is>
          <t>archivo_02.csv</t>
        </is>
      </c>
      <c r="W188" s="14" t="n">
        <v>95355</v>
      </c>
      <c r="X188" s="14" t="n">
        <v>14303.25</v>
      </c>
      <c r="Y188" s="14" t="n">
        <v>81051.75</v>
      </c>
      <c r="Z188" s="14" t="n">
        <v>55305.9</v>
      </c>
      <c r="AA188" s="14" t="n">
        <v>25745.85</v>
      </c>
      <c r="AB188" s="15" t="n">
        <v>0.3176470588235294</v>
      </c>
      <c r="AC188" t="n">
        <v>10</v>
      </c>
      <c r="AD188" t="inlineStr">
        <is>
          <t>SUR|OP-000187|20260420|P-200</t>
        </is>
      </c>
      <c r="AE188" t="n">
        <v>1</v>
      </c>
    </row>
    <row r="189">
      <c r="A189" t="n">
        <v>188</v>
      </c>
      <c r="B189" t="inlineStr">
        <is>
          <t>OP-000188</t>
        </is>
      </c>
      <c r="C189" s="12" t="n">
        <v>46139</v>
      </c>
      <c r="D189" s="13" t="n">
        <v>0.6527777777777778</v>
      </c>
      <c r="E189" t="inlineStr">
        <is>
          <t>C-0014</t>
        </is>
      </c>
      <c r="F189" t="inlineStr">
        <is>
          <t>Cliente 14</t>
        </is>
      </c>
      <c r="G189" t="inlineStr">
        <is>
          <t>P-300</t>
        </is>
      </c>
      <c r="H189" t="inlineStr">
        <is>
          <t>Mouse</t>
        </is>
      </c>
      <c r="I189" t="inlineStr">
        <is>
          <t>Tecnologia</t>
        </is>
      </c>
      <c r="J189" t="inlineStr">
        <is>
          <t>Pacifico</t>
        </is>
      </c>
      <c r="K189" t="inlineStr">
        <is>
          <t>SUC-05</t>
        </is>
      </c>
      <c r="L189" t="inlineStr">
        <is>
          <t>Distribuidor</t>
        </is>
      </c>
      <c r="M189" t="inlineStr">
        <is>
          <t>Aprobado</t>
        </is>
      </c>
      <c r="N189" t="inlineStr">
        <is>
          <t>Critica</t>
        </is>
      </c>
      <c r="O189" t="n">
        <v>1</v>
      </c>
      <c r="P189" s="14" t="n">
        <v>2256</v>
      </c>
      <c r="Q189" s="15" t="n">
        <v>0</v>
      </c>
      <c r="R189" s="14" t="n">
        <v>1331.04</v>
      </c>
      <c r="S189" s="12" t="n">
        <v>46154</v>
      </c>
      <c r="T189" s="12" t="n">
        <v>46150</v>
      </c>
      <c r="U189" t="inlineStr">
        <is>
          <t>Resp 9</t>
        </is>
      </c>
      <c r="V189" t="inlineStr">
        <is>
          <t>archivo_03.csv</t>
        </is>
      </c>
      <c r="W189" s="14" t="n">
        <v>2256</v>
      </c>
      <c r="X189" s="14" t="n">
        <v>0</v>
      </c>
      <c r="Y189" s="14" t="n">
        <v>2256</v>
      </c>
      <c r="Z189" s="14" t="n">
        <v>1331.04</v>
      </c>
      <c r="AA189" s="14" t="n">
        <v>924.96</v>
      </c>
      <c r="AB189" s="15" t="n">
        <v>0.41</v>
      </c>
      <c r="AC189" t="n">
        <v>11</v>
      </c>
      <c r="AD189" t="inlineStr">
        <is>
          <t>PACIFICO|OP-000188|20260427|P-300</t>
        </is>
      </c>
      <c r="AE189" t="n">
        <v>1</v>
      </c>
    </row>
    <row r="190">
      <c r="A190" t="n">
        <v>189</v>
      </c>
      <c r="B190" t="inlineStr">
        <is>
          <t>OP-000189</t>
        </is>
      </c>
      <c r="C190" s="12" t="n">
        <v>46146</v>
      </c>
      <c r="D190" s="13" t="n">
        <v>0.6979166666666666</v>
      </c>
      <c r="E190" t="inlineStr">
        <is>
          <t>C-0015</t>
        </is>
      </c>
      <c r="F190" t="inlineStr">
        <is>
          <t>Cliente 15</t>
        </is>
      </c>
      <c r="G190" t="inlineStr">
        <is>
          <t>P-400</t>
        </is>
      </c>
      <c r="H190" t="inlineStr">
        <is>
          <t>Laptop</t>
        </is>
      </c>
      <c r="I190" t="inlineStr">
        <is>
          <t>Tecnologia</t>
        </is>
      </c>
      <c r="J190" t="inlineStr">
        <is>
          <t>Norte</t>
        </is>
      </c>
      <c r="K190" t="inlineStr">
        <is>
          <t>SUC-06</t>
        </is>
      </c>
      <c r="L190" t="inlineStr">
        <is>
          <t>Digital</t>
        </is>
      </c>
      <c r="M190" t="inlineStr">
        <is>
          <t>Pendiente</t>
        </is>
      </c>
      <c r="N190" t="inlineStr">
        <is>
          <t>Alta</t>
        </is>
      </c>
      <c r="O190" t="n">
        <v>4</v>
      </c>
      <c r="P190" s="14" t="n">
        <v>2393</v>
      </c>
      <c r="Q190" s="15" t="n">
        <v>0.05</v>
      </c>
      <c r="R190" s="14" t="n">
        <v>1435.8</v>
      </c>
      <c r="S190" s="12" t="n">
        <v>46162</v>
      </c>
      <c r="T190" s="12" t="n">
        <v>46158</v>
      </c>
      <c r="U190" t="inlineStr">
        <is>
          <t>Resp 10</t>
        </is>
      </c>
      <c r="V190" t="inlineStr">
        <is>
          <t>archivo_04.csv</t>
        </is>
      </c>
      <c r="W190" s="14" t="n">
        <v>9572</v>
      </c>
      <c r="X190" s="14" t="n">
        <v>478.6</v>
      </c>
      <c r="Y190" s="14" t="n">
        <v>9093.4</v>
      </c>
      <c r="Z190" s="14" t="n">
        <v>5743.2</v>
      </c>
      <c r="AA190" s="14" t="n">
        <v>3350.2</v>
      </c>
      <c r="AB190" s="15" t="n">
        <v>0.3684210526315789</v>
      </c>
      <c r="AC190" t="n">
        <v>12</v>
      </c>
      <c r="AD190" t="inlineStr">
        <is>
          <t>NORTE|OP-000189|20260504|P-400</t>
        </is>
      </c>
      <c r="AE190" t="n">
        <v>1</v>
      </c>
    </row>
    <row r="191">
      <c r="A191" t="n">
        <v>190</v>
      </c>
      <c r="B191" t="inlineStr">
        <is>
          <t>OP-000190</t>
        </is>
      </c>
      <c r="C191" s="12" t="n">
        <v>46153</v>
      </c>
      <c r="D191" s="13" t="n">
        <v>0.7430555555555556</v>
      </c>
      <c r="E191" t="inlineStr">
        <is>
          <t>C-0016</t>
        </is>
      </c>
      <c r="F191" t="inlineStr">
        <is>
          <t>Cliente 16</t>
        </is>
      </c>
      <c r="G191" t="inlineStr">
        <is>
          <t>P-500</t>
        </is>
      </c>
      <c r="H191" t="inlineStr">
        <is>
          <t>Dock</t>
        </is>
      </c>
      <c r="I191" t="inlineStr">
        <is>
          <t>Tecnologia</t>
        </is>
      </c>
      <c r="J191" t="inlineStr">
        <is>
          <t>Centro</t>
        </is>
      </c>
      <c r="K191" t="inlineStr">
        <is>
          <t>SUC-07</t>
        </is>
      </c>
      <c r="L191" t="inlineStr">
        <is>
          <t>Tienda</t>
        </is>
      </c>
      <c r="M191" t="inlineStr">
        <is>
          <t>Cancelado</t>
        </is>
      </c>
      <c r="N191" t="inlineStr">
        <is>
          <t>Media</t>
        </is>
      </c>
      <c r="O191" t="n">
        <v>7</v>
      </c>
      <c r="P191" s="14" t="n">
        <v>2530</v>
      </c>
      <c r="Q191" s="15" t="n">
        <v>0.1</v>
      </c>
      <c r="R191" s="14" t="n">
        <v>1543.3</v>
      </c>
      <c r="S191" s="12" t="n">
        <v>46160</v>
      </c>
      <c r="T191" s="12" t="n">
        <v>46166</v>
      </c>
      <c r="U191" t="inlineStr">
        <is>
          <t>Resp 11</t>
        </is>
      </c>
      <c r="V191" t="inlineStr">
        <is>
          <t>archivo_05.csv</t>
        </is>
      </c>
      <c r="W191" s="14" t="n">
        <v>17710</v>
      </c>
      <c r="X191" s="14" t="n">
        <v>1771</v>
      </c>
      <c r="Y191" s="14" t="n">
        <v>15939</v>
      </c>
      <c r="Z191" s="14" t="n">
        <v>10803.1</v>
      </c>
      <c r="AA191" s="14" t="n">
        <v>5135.9</v>
      </c>
      <c r="AB191" s="15" t="n">
        <v>0.3222222222222222</v>
      </c>
      <c r="AC191" t="n">
        <v>13</v>
      </c>
      <c r="AD191" t="inlineStr">
        <is>
          <t>CENTRO|OP-000190|20260511|P-500</t>
        </is>
      </c>
      <c r="AE191" t="n">
        <v>1</v>
      </c>
    </row>
    <row r="192">
      <c r="A192" t="n">
        <v>191</v>
      </c>
      <c r="B192" t="inlineStr">
        <is>
          <t>OP-000191</t>
        </is>
      </c>
      <c r="C192" s="12" t="n">
        <v>46160</v>
      </c>
      <c r="D192" s="13" t="n">
        <v>0.7881944444444444</v>
      </c>
      <c r="E192" t="inlineStr">
        <is>
          <t>C-0017</t>
        </is>
      </c>
      <c r="F192" t="inlineStr">
        <is>
          <t>Cliente 17</t>
        </is>
      </c>
      <c r="G192" t="inlineStr">
        <is>
          <t>P-100</t>
        </is>
      </c>
      <c r="H192" t="inlineStr">
        <is>
          <t>Monitor 24</t>
        </is>
      </c>
      <c r="I192" t="inlineStr">
        <is>
          <t>Tecnologia</t>
        </is>
      </c>
      <c r="J192" t="inlineStr">
        <is>
          <t>Sur</t>
        </is>
      </c>
      <c r="K192" t="inlineStr">
        <is>
          <t>SUC-08</t>
        </is>
      </c>
      <c r="L192" t="inlineStr">
        <is>
          <t>Distribuidor</t>
        </is>
      </c>
      <c r="M192" t="inlineStr">
        <is>
          <t>En revision</t>
        </is>
      </c>
      <c r="N192" t="inlineStr">
        <is>
          <t>Baja</t>
        </is>
      </c>
      <c r="O192" t="n">
        <v>10</v>
      </c>
      <c r="P192" s="14" t="n">
        <v>2667</v>
      </c>
      <c r="Q192" s="15" t="n">
        <v>0.15</v>
      </c>
      <c r="R192" s="14" t="n">
        <v>1653.54</v>
      </c>
      <c r="S192" s="12" t="n">
        <v>46168</v>
      </c>
      <c r="T192" s="12" t="n">
        <v>46174</v>
      </c>
      <c r="U192" t="inlineStr">
        <is>
          <t>Resp 12</t>
        </is>
      </c>
      <c r="V192" t="inlineStr">
        <is>
          <t>archivo_06.csv</t>
        </is>
      </c>
      <c r="W192" s="14" t="n">
        <v>26670</v>
      </c>
      <c r="X192" s="14" t="n">
        <v>4000.5</v>
      </c>
      <c r="Y192" s="14" t="n">
        <v>22669.5</v>
      </c>
      <c r="Z192" s="14" t="n">
        <v>16535.4</v>
      </c>
      <c r="AA192" s="14" t="n">
        <v>6134.099999999999</v>
      </c>
      <c r="AB192" s="15" t="n">
        <v>0.2705882352941176</v>
      </c>
      <c r="AC192" t="n">
        <v>14</v>
      </c>
      <c r="AD192" t="inlineStr">
        <is>
          <t>SUR|OP-000191|20260518|P-100</t>
        </is>
      </c>
      <c r="AE192" t="n">
        <v>1</v>
      </c>
    </row>
    <row r="193">
      <c r="A193" t="n">
        <v>192</v>
      </c>
      <c r="B193" t="inlineStr">
        <is>
          <t>OP-000192</t>
        </is>
      </c>
      <c r="C193" s="12" t="n">
        <v>46167</v>
      </c>
      <c r="D193" s="13" t="n">
        <v>0.2916666666666667</v>
      </c>
      <c r="E193" t="inlineStr">
        <is>
          <t>C-0018</t>
        </is>
      </c>
      <c r="F193" t="inlineStr">
        <is>
          <t>Cliente 18</t>
        </is>
      </c>
      <c r="G193" t="inlineStr">
        <is>
          <t>P-200</t>
        </is>
      </c>
      <c r="H193" t="inlineStr">
        <is>
          <t>Teclado</t>
        </is>
      </c>
      <c r="I193" t="inlineStr">
        <is>
          <t>Tecnologia</t>
        </is>
      </c>
      <c r="J193" t="inlineStr">
        <is>
          <t>Pacifico</t>
        </is>
      </c>
      <c r="K193" t="inlineStr">
        <is>
          <t>SUC-01</t>
        </is>
      </c>
      <c r="L193" t="inlineStr">
        <is>
          <t>Digital</t>
        </is>
      </c>
      <c r="M193" t="inlineStr">
        <is>
          <t>Aprobado</t>
        </is>
      </c>
      <c r="N193" t="inlineStr">
        <is>
          <t>Critica</t>
        </is>
      </c>
      <c r="O193" t="n">
        <v>13</v>
      </c>
      <c r="P193" s="14" t="n">
        <v>2804</v>
      </c>
      <c r="Q193" s="15" t="n">
        <v>0</v>
      </c>
      <c r="R193" s="14" t="n">
        <v>1542.2</v>
      </c>
      <c r="S193" s="12" t="n">
        <v>46176</v>
      </c>
      <c r="T193" s="12" t="n">
        <v>46182</v>
      </c>
      <c r="U193" t="inlineStr">
        <is>
          <t>Resp 1</t>
        </is>
      </c>
      <c r="V193" t="inlineStr">
        <is>
          <t>archivo_01.csv</t>
        </is>
      </c>
      <c r="W193" s="14" t="n">
        <v>36452</v>
      </c>
      <c r="X193" s="14" t="n">
        <v>0</v>
      </c>
      <c r="Y193" s="14" t="n">
        <v>36452</v>
      </c>
      <c r="Z193" s="14" t="n">
        <v>20048.6</v>
      </c>
      <c r="AA193" s="14" t="n">
        <v>16403.4</v>
      </c>
      <c r="AB193" s="15" t="n">
        <v>0.45</v>
      </c>
      <c r="AC193" t="n">
        <v>15</v>
      </c>
      <c r="AD193" t="inlineStr">
        <is>
          <t>PACIFICO|OP-000192|20260525|P-200</t>
        </is>
      </c>
      <c r="AE193" t="n">
        <v>1</v>
      </c>
    </row>
    <row r="194">
      <c r="A194" t="n">
        <v>193</v>
      </c>
      <c r="B194" t="inlineStr">
        <is>
          <t>OP-000193</t>
        </is>
      </c>
      <c r="C194" s="12" t="n">
        <v>46174</v>
      </c>
      <c r="D194" s="13" t="n">
        <v>0.3368055555555556</v>
      </c>
      <c r="E194" t="inlineStr">
        <is>
          <t>C-0019</t>
        </is>
      </c>
      <c r="F194" t="inlineStr">
        <is>
          <t>Cliente 19</t>
        </is>
      </c>
      <c r="G194" t="inlineStr">
        <is>
          <t>P-300</t>
        </is>
      </c>
      <c r="H194" t="inlineStr">
        <is>
          <t>Mouse</t>
        </is>
      </c>
      <c r="I194" t="inlineStr">
        <is>
          <t>Tecnologia</t>
        </is>
      </c>
      <c r="J194" t="inlineStr">
        <is>
          <t>Norte</t>
        </is>
      </c>
      <c r="K194" t="inlineStr">
        <is>
          <t>SUC-02</t>
        </is>
      </c>
      <c r="L194" t="inlineStr">
        <is>
          <t>Tienda</t>
        </is>
      </c>
      <c r="M194" t="inlineStr">
        <is>
          <t>Pendiente</t>
        </is>
      </c>
      <c r="N194" t="inlineStr">
        <is>
          <t>Alta</t>
        </is>
      </c>
      <c r="O194" t="n">
        <v>16</v>
      </c>
      <c r="P194" s="14" t="n">
        <v>2941</v>
      </c>
      <c r="Q194" s="15" t="n">
        <v>0.05</v>
      </c>
      <c r="R194" s="14" t="n">
        <v>1646.96</v>
      </c>
      <c r="S194" s="12" t="n">
        <v>46184</v>
      </c>
      <c r="T194" s="12" t="n">
        <v>46190</v>
      </c>
      <c r="U194" t="inlineStr">
        <is>
          <t>Resp 2</t>
        </is>
      </c>
      <c r="V194" t="inlineStr">
        <is>
          <t>archivo_02.csv</t>
        </is>
      </c>
      <c r="W194" s="14" t="n">
        <v>47056</v>
      </c>
      <c r="X194" s="14" t="n">
        <v>2352.8</v>
      </c>
      <c r="Y194" s="14" t="n">
        <v>44703.2</v>
      </c>
      <c r="Z194" s="14" t="n">
        <v>26351.36</v>
      </c>
      <c r="AA194" s="14" t="n">
        <v>18351.84</v>
      </c>
      <c r="AB194" s="15" t="n">
        <v>0.4105263157894736</v>
      </c>
      <c r="AC194" t="n">
        <v>16</v>
      </c>
      <c r="AD194" t="inlineStr">
        <is>
          <t>NORTE|OP-000193|20260601|P-300</t>
        </is>
      </c>
      <c r="AE194" t="n">
        <v>1</v>
      </c>
    </row>
    <row r="195">
      <c r="A195" t="n">
        <v>194</v>
      </c>
      <c r="B195" t="inlineStr">
        <is>
          <t>OP-000194</t>
        </is>
      </c>
      <c r="C195" s="12" t="n">
        <v>46181</v>
      </c>
      <c r="D195" s="13" t="n">
        <v>0.3819444444444444</v>
      </c>
      <c r="E195" t="inlineStr">
        <is>
          <t>C-0020</t>
        </is>
      </c>
      <c r="F195" t="inlineStr">
        <is>
          <t>Cliente 20</t>
        </is>
      </c>
      <c r="G195" t="inlineStr">
        <is>
          <t>P-400</t>
        </is>
      </c>
      <c r="H195" t="inlineStr">
        <is>
          <t>Laptop</t>
        </is>
      </c>
      <c r="I195" t="inlineStr">
        <is>
          <t>Tecnologia</t>
        </is>
      </c>
      <c r="J195" t="inlineStr">
        <is>
          <t>Centro</t>
        </is>
      </c>
      <c r="K195" t="inlineStr">
        <is>
          <t>SUC-03</t>
        </is>
      </c>
      <c r="L195" t="inlineStr">
        <is>
          <t>Distribuidor</t>
        </is>
      </c>
      <c r="M195" t="inlineStr">
        <is>
          <t>Cancelado</t>
        </is>
      </c>
      <c r="N195" t="inlineStr">
        <is>
          <t>Media</t>
        </is>
      </c>
      <c r="O195" t="n">
        <v>19</v>
      </c>
      <c r="P195" s="14" t="n">
        <v>3078</v>
      </c>
      <c r="Q195" s="15" t="n">
        <v>0.1</v>
      </c>
      <c r="R195" s="14" t="n">
        <v>1754.46</v>
      </c>
      <c r="S195" s="12" t="n">
        <v>46192</v>
      </c>
      <c r="T195" s="12" t="n">
        <v>46198</v>
      </c>
      <c r="U195" t="inlineStr">
        <is>
          <t>Resp 3</t>
        </is>
      </c>
      <c r="V195" t="inlineStr">
        <is>
          <t>archivo_03.csv</t>
        </is>
      </c>
      <c r="W195" s="14" t="n">
        <v>58482</v>
      </c>
      <c r="X195" s="14" t="n">
        <v>5848.200000000001</v>
      </c>
      <c r="Y195" s="14" t="n">
        <v>52633.8</v>
      </c>
      <c r="Z195" s="14" t="n">
        <v>33334.74</v>
      </c>
      <c r="AA195" s="14" t="n">
        <v>19299.06</v>
      </c>
      <c r="AB195" s="15" t="n">
        <v>0.3666666666666668</v>
      </c>
      <c r="AC195" t="n">
        <v>17</v>
      </c>
      <c r="AD195" t="inlineStr">
        <is>
          <t>CENTRO|OP-000194|20260608|P-400</t>
        </is>
      </c>
      <c r="AE195" t="n">
        <v>1</v>
      </c>
    </row>
    <row r="196">
      <c r="A196" t="n">
        <v>195</v>
      </c>
      <c r="B196" t="inlineStr">
        <is>
          <t>OP-000195</t>
        </is>
      </c>
      <c r="C196" s="12" t="n">
        <v>46188</v>
      </c>
      <c r="D196" s="13" t="n">
        <v>0.4270833333333333</v>
      </c>
      <c r="E196" t="inlineStr">
        <is>
          <t>C-0021</t>
        </is>
      </c>
      <c r="F196" t="inlineStr">
        <is>
          <t>Cliente 21</t>
        </is>
      </c>
      <c r="G196" t="inlineStr">
        <is>
          <t>P-500</t>
        </is>
      </c>
      <c r="H196" t="inlineStr">
        <is>
          <t>Dock</t>
        </is>
      </c>
      <c r="I196" t="inlineStr">
        <is>
          <t>Tecnologia</t>
        </is>
      </c>
      <c r="J196" t="inlineStr">
        <is>
          <t>Sur</t>
        </is>
      </c>
      <c r="K196" t="inlineStr">
        <is>
          <t>SUC-04</t>
        </is>
      </c>
      <c r="L196" t="inlineStr">
        <is>
          <t>Digital</t>
        </is>
      </c>
      <c r="M196" t="inlineStr">
        <is>
          <t>En revision</t>
        </is>
      </c>
      <c r="N196" t="inlineStr">
        <is>
          <t>Baja</t>
        </is>
      </c>
      <c r="O196" t="n">
        <v>22</v>
      </c>
      <c r="P196" s="14" t="n">
        <v>3215</v>
      </c>
      <c r="Q196" s="15" t="n">
        <v>0.15</v>
      </c>
      <c r="R196" s="14" t="n">
        <v>1864.7</v>
      </c>
      <c r="S196" s="12" t="n">
        <v>46200</v>
      </c>
      <c r="T196" s="12" t="n">
        <v>46191</v>
      </c>
      <c r="U196" t="inlineStr">
        <is>
          <t>Resp 4</t>
        </is>
      </c>
      <c r="V196" t="inlineStr">
        <is>
          <t>archivo_04.csv</t>
        </is>
      </c>
      <c r="W196" s="14" t="n">
        <v>70730</v>
      </c>
      <c r="X196" s="14" t="n">
        <v>10609.5</v>
      </c>
      <c r="Y196" s="14" t="n">
        <v>60120.5</v>
      </c>
      <c r="Z196" s="14" t="n">
        <v>41023.4</v>
      </c>
      <c r="AA196" s="14" t="n">
        <v>19097.1</v>
      </c>
      <c r="AB196" s="15" t="n">
        <v>0.3176470588235294</v>
      </c>
      <c r="AC196" t="n">
        <v>3</v>
      </c>
      <c r="AD196" t="inlineStr">
        <is>
          <t>SUR|OP-000195|20260615|P-500</t>
        </is>
      </c>
      <c r="AE196" t="n">
        <v>1</v>
      </c>
    </row>
    <row r="197">
      <c r="A197" t="n">
        <v>196</v>
      </c>
      <c r="B197" t="inlineStr">
        <is>
          <t>OP-000196</t>
        </is>
      </c>
      <c r="C197" s="12" t="n">
        <v>46195</v>
      </c>
      <c r="D197" s="13" t="n">
        <v>0.4722222222222222</v>
      </c>
      <c r="E197" t="inlineStr">
        <is>
          <t>C-0022</t>
        </is>
      </c>
      <c r="F197" t="inlineStr">
        <is>
          <t>Cliente 22</t>
        </is>
      </c>
      <c r="G197" t="inlineStr">
        <is>
          <t>P-100</t>
        </is>
      </c>
      <c r="H197" t="inlineStr">
        <is>
          <t>Monitor 24</t>
        </is>
      </c>
      <c r="I197" t="inlineStr">
        <is>
          <t>Tecnologia</t>
        </is>
      </c>
      <c r="J197" t="inlineStr">
        <is>
          <t>Pacifico</t>
        </is>
      </c>
      <c r="K197" t="inlineStr">
        <is>
          <t>SUC-05</t>
        </is>
      </c>
      <c r="L197" t="inlineStr">
        <is>
          <t>Tienda</t>
        </is>
      </c>
      <c r="M197" t="inlineStr">
        <is>
          <t>Aprobado</t>
        </is>
      </c>
      <c r="N197" t="inlineStr">
        <is>
          <t>Critica</t>
        </is>
      </c>
      <c r="O197" t="n">
        <v>25</v>
      </c>
      <c r="P197" s="14" t="n">
        <v>3352</v>
      </c>
      <c r="Q197" s="15" t="n">
        <v>0</v>
      </c>
      <c r="R197" s="14" t="n">
        <v>1977.68</v>
      </c>
      <c r="S197" s="12" t="n">
        <v>46208</v>
      </c>
      <c r="T197" s="12" t="n">
        <v>46199</v>
      </c>
      <c r="U197" t="inlineStr">
        <is>
          <t>Resp 5</t>
        </is>
      </c>
      <c r="V197" t="inlineStr">
        <is>
          <t>archivo_05.csv</t>
        </is>
      </c>
      <c r="W197" s="14" t="n">
        <v>83800</v>
      </c>
      <c r="X197" s="14" t="n">
        <v>0</v>
      </c>
      <c r="Y197" s="14" t="n">
        <v>83800</v>
      </c>
      <c r="Z197" s="14" t="n">
        <v>49442</v>
      </c>
      <c r="AA197" s="14" t="n">
        <v>34358</v>
      </c>
      <c r="AB197" s="15" t="n">
        <v>0.41</v>
      </c>
      <c r="AC197" t="n">
        <v>4</v>
      </c>
      <c r="AD197" t="inlineStr">
        <is>
          <t>PACIFICO|OP-000196|20260622|P-100</t>
        </is>
      </c>
      <c r="AE197" t="n">
        <v>1</v>
      </c>
    </row>
    <row r="198">
      <c r="A198" t="n">
        <v>197</v>
      </c>
      <c r="B198" t="inlineStr">
        <is>
          <t>OP-000197</t>
        </is>
      </c>
      <c r="C198" s="12" t="n">
        <v>46202</v>
      </c>
      <c r="D198" s="13" t="n">
        <v>0.5173611111111112</v>
      </c>
      <c r="E198" t="inlineStr">
        <is>
          <t>C-0023</t>
        </is>
      </c>
      <c r="F198" t="inlineStr">
        <is>
          <t>Cliente 23</t>
        </is>
      </c>
      <c r="G198" t="inlineStr">
        <is>
          <t>P-200</t>
        </is>
      </c>
      <c r="H198" t="inlineStr">
        <is>
          <t>Teclado</t>
        </is>
      </c>
      <c r="I198" t="inlineStr">
        <is>
          <t>Tecnologia</t>
        </is>
      </c>
      <c r="J198" t="inlineStr">
        <is>
          <t>Norte</t>
        </is>
      </c>
      <c r="K198" t="inlineStr">
        <is>
          <t>SUC-06</t>
        </is>
      </c>
      <c r="L198" t="inlineStr">
        <is>
          <t>Distribuidor</t>
        </is>
      </c>
      <c r="M198" t="inlineStr">
        <is>
          <t>Pendiente</t>
        </is>
      </c>
      <c r="N198" t="inlineStr">
        <is>
          <t>Alta</t>
        </is>
      </c>
      <c r="O198" t="n">
        <v>28</v>
      </c>
      <c r="P198" s="14" t="n">
        <v>3489</v>
      </c>
      <c r="Q198" s="15" t="n">
        <v>0.05</v>
      </c>
      <c r="R198" s="14" t="n">
        <v>2093.4</v>
      </c>
      <c r="S198" s="12" t="n">
        <v>46216</v>
      </c>
      <c r="T198" s="12" t="n">
        <v>46207</v>
      </c>
      <c r="U198" t="inlineStr">
        <is>
          <t>Resp 6</t>
        </is>
      </c>
      <c r="V198" t="inlineStr">
        <is>
          <t>archivo_06.csv</t>
        </is>
      </c>
      <c r="W198" s="14" t="n">
        <v>97692</v>
      </c>
      <c r="X198" s="14" t="n">
        <v>4884.6</v>
      </c>
      <c r="Y198" s="14" t="n">
        <v>92807.39999999999</v>
      </c>
      <c r="Z198" s="14" t="n">
        <v>58615.2</v>
      </c>
      <c r="AA198" s="14" t="n">
        <v>34192.19999999999</v>
      </c>
      <c r="AB198" s="15" t="n">
        <v>0.3684210526315789</v>
      </c>
      <c r="AC198" t="n">
        <v>5</v>
      </c>
      <c r="AD198" t="inlineStr">
        <is>
          <t>NORTE|OP-000197|20260629|P-200</t>
        </is>
      </c>
      <c r="AE198" t="n">
        <v>1</v>
      </c>
    </row>
    <row r="199">
      <c r="A199" t="n">
        <v>198</v>
      </c>
      <c r="B199" t="inlineStr">
        <is>
          <t>OP-000198</t>
        </is>
      </c>
      <c r="C199" s="12" t="n">
        <v>46209</v>
      </c>
      <c r="D199" s="13" t="n">
        <v>0.5625</v>
      </c>
      <c r="E199" t="inlineStr">
        <is>
          <t>C-0024</t>
        </is>
      </c>
      <c r="F199" t="inlineStr">
        <is>
          <t>Cliente 24</t>
        </is>
      </c>
      <c r="G199" t="inlineStr">
        <is>
          <t>P-300</t>
        </is>
      </c>
      <c r="H199" t="inlineStr">
        <is>
          <t>Mouse</t>
        </is>
      </c>
      <c r="I199" t="inlineStr">
        <is>
          <t>Tecnologia</t>
        </is>
      </c>
      <c r="J199" t="inlineStr">
        <is>
          <t>Centro</t>
        </is>
      </c>
      <c r="K199" t="inlineStr">
        <is>
          <t>SUC-07</t>
        </is>
      </c>
      <c r="L199" t="inlineStr">
        <is>
          <t>Digital</t>
        </is>
      </c>
      <c r="M199" t="inlineStr">
        <is>
          <t>Cancelado</t>
        </is>
      </c>
      <c r="N199" t="inlineStr">
        <is>
          <t>Media</t>
        </is>
      </c>
      <c r="O199" t="n">
        <v>31</v>
      </c>
      <c r="P199" s="14" t="n">
        <v>3626</v>
      </c>
      <c r="Q199" s="15" t="n">
        <v>0.1</v>
      </c>
      <c r="R199" s="14" t="n">
        <v>2211.86</v>
      </c>
      <c r="S199" s="12" t="n">
        <v>46224</v>
      </c>
      <c r="T199" s="12" t="n">
        <v>46215</v>
      </c>
      <c r="U199" t="inlineStr">
        <is>
          <t>Resp 7</t>
        </is>
      </c>
      <c r="V199" t="inlineStr">
        <is>
          <t>archivo_01.csv</t>
        </is>
      </c>
      <c r="W199" s="14" t="n">
        <v>112406</v>
      </c>
      <c r="X199" s="14" t="n">
        <v>11240.6</v>
      </c>
      <c r="Y199" s="14" t="n">
        <v>101165.4</v>
      </c>
      <c r="Z199" s="14" t="n">
        <v>68567.66</v>
      </c>
      <c r="AA199" s="14" t="n">
        <v>32597.73999999999</v>
      </c>
      <c r="AB199" s="15" t="n">
        <v>0.3222222222222221</v>
      </c>
      <c r="AC199" t="n">
        <v>6</v>
      </c>
      <c r="AD199" t="inlineStr">
        <is>
          <t>CENTRO|OP-000198|20260706|P-300</t>
        </is>
      </c>
      <c r="AE199" t="n">
        <v>1</v>
      </c>
    </row>
    <row r="200">
      <c r="A200" t="n">
        <v>199</v>
      </c>
      <c r="B200" t="inlineStr">
        <is>
          <t>OP-000199</t>
        </is>
      </c>
      <c r="C200" s="12" t="n">
        <v>46216</v>
      </c>
      <c r="D200" s="13" t="n">
        <v>0.6076388888888888</v>
      </c>
      <c r="E200" t="inlineStr">
        <is>
          <t>C-0025</t>
        </is>
      </c>
      <c r="F200" t="inlineStr">
        <is>
          <t>Cliente 25</t>
        </is>
      </c>
      <c r="G200" t="inlineStr">
        <is>
          <t>P-400</t>
        </is>
      </c>
      <c r="H200" t="inlineStr">
        <is>
          <t>Laptop</t>
        </is>
      </c>
      <c r="I200" t="inlineStr">
        <is>
          <t>Tecnologia</t>
        </is>
      </c>
      <c r="J200" t="inlineStr">
        <is>
          <t>Sur</t>
        </is>
      </c>
      <c r="K200" t="inlineStr">
        <is>
          <t>SUC-08</t>
        </is>
      </c>
      <c r="L200" t="inlineStr">
        <is>
          <t>Tienda</t>
        </is>
      </c>
      <c r="M200" t="inlineStr">
        <is>
          <t>En revision</t>
        </is>
      </c>
      <c r="N200" t="inlineStr">
        <is>
          <t>Baja</t>
        </is>
      </c>
      <c r="O200" t="n">
        <v>34</v>
      </c>
      <c r="P200" s="14" t="n">
        <v>3763</v>
      </c>
      <c r="Q200" s="15" t="n">
        <v>0.15</v>
      </c>
      <c r="R200" s="14" t="n">
        <v>2333.06</v>
      </c>
      <c r="S200" s="12" t="n">
        <v>46232</v>
      </c>
      <c r="T200" s="12" t="n">
        <v>46223</v>
      </c>
      <c r="U200" t="inlineStr">
        <is>
          <t>Resp 8</t>
        </is>
      </c>
      <c r="V200" t="inlineStr">
        <is>
          <t>archivo_02.csv</t>
        </is>
      </c>
      <c r="W200" s="14" t="n">
        <v>127942</v>
      </c>
      <c r="X200" s="14" t="n">
        <v>19191.3</v>
      </c>
      <c r="Y200" s="14" t="n">
        <v>108750.7</v>
      </c>
      <c r="Z200" s="14" t="n">
        <v>79324.03999999999</v>
      </c>
      <c r="AA200" s="14" t="n">
        <v>29426.66</v>
      </c>
      <c r="AB200" s="15" t="n">
        <v>0.2705882352941177</v>
      </c>
      <c r="AC200" t="n">
        <v>7</v>
      </c>
      <c r="AD200" t="inlineStr">
        <is>
          <t>SUR|OP-000199|20260713|P-400</t>
        </is>
      </c>
      <c r="AE200" t="n">
        <v>1</v>
      </c>
    </row>
    <row r="201">
      <c r="A201" t="n">
        <v>200</v>
      </c>
      <c r="B201" t="inlineStr">
        <is>
          <t>OP-000200</t>
        </is>
      </c>
      <c r="C201" s="12" t="n">
        <v>46223</v>
      </c>
      <c r="D201" s="13" t="n">
        <v>0.6527777777777778</v>
      </c>
      <c r="E201" t="inlineStr">
        <is>
          <t>C-0026</t>
        </is>
      </c>
      <c r="F201" t="inlineStr">
        <is>
          <t>Cliente 26</t>
        </is>
      </c>
      <c r="G201" t="inlineStr">
        <is>
          <t>P-500</t>
        </is>
      </c>
      <c r="H201" t="inlineStr">
        <is>
          <t>Dock</t>
        </is>
      </c>
      <c r="I201" t="inlineStr">
        <is>
          <t>Tecnologia</t>
        </is>
      </c>
      <c r="J201" t="inlineStr">
        <is>
          <t>Pacifico</t>
        </is>
      </c>
      <c r="K201" t="inlineStr">
        <is>
          <t>SUC-01</t>
        </is>
      </c>
      <c r="L201" t="inlineStr">
        <is>
          <t>Distribuidor</t>
        </is>
      </c>
      <c r="M201" t="inlineStr">
        <is>
          <t>Aprobado</t>
        </is>
      </c>
      <c r="N201" t="inlineStr">
        <is>
          <t>Critica</t>
        </is>
      </c>
      <c r="O201" t="n">
        <v>37</v>
      </c>
      <c r="P201" s="14" t="n">
        <v>3900</v>
      </c>
      <c r="Q201" s="15" t="n">
        <v>0</v>
      </c>
      <c r="R201" s="14" t="n">
        <v>2145</v>
      </c>
      <c r="S201" s="12" t="n">
        <v>46230</v>
      </c>
      <c r="T201" s="12" t="n">
        <v>46231</v>
      </c>
      <c r="U201" t="inlineStr">
        <is>
          <t>Resp 9</t>
        </is>
      </c>
      <c r="V201" t="inlineStr">
        <is>
          <t>archivo_03.csv</t>
        </is>
      </c>
      <c r="W201" s="14" t="n">
        <v>144300</v>
      </c>
      <c r="X201" s="14" t="n">
        <v>0</v>
      </c>
      <c r="Y201" s="14" t="n">
        <v>144300</v>
      </c>
      <c r="Z201" s="14" t="n">
        <v>79365</v>
      </c>
      <c r="AA201" s="14" t="n">
        <v>64935</v>
      </c>
      <c r="AB201" s="15" t="n">
        <v>0.45</v>
      </c>
      <c r="AC201" t="n">
        <v>8</v>
      </c>
      <c r="AD201" t="inlineStr">
        <is>
          <t>PACIFICO|OP-000200|20260720|P-500</t>
        </is>
      </c>
      <c r="AE201" t="n">
        <v>1</v>
      </c>
    </row>
    <row r="202">
      <c r="A202" t="n">
        <v>201</v>
      </c>
      <c r="B202" t="inlineStr">
        <is>
          <t>OP-000201</t>
        </is>
      </c>
      <c r="C202" s="12" t="n">
        <v>46230</v>
      </c>
      <c r="D202" s="13" t="n">
        <v>0.6979166666666666</v>
      </c>
      <c r="E202" t="inlineStr">
        <is>
          <t>C-0027</t>
        </is>
      </c>
      <c r="F202" t="inlineStr">
        <is>
          <t>Cliente 27</t>
        </is>
      </c>
      <c r="G202" t="inlineStr">
        <is>
          <t>P-100</t>
        </is>
      </c>
      <c r="H202" t="inlineStr">
        <is>
          <t>Monitor 24</t>
        </is>
      </c>
      <c r="I202" t="inlineStr">
        <is>
          <t>Tecnologia</t>
        </is>
      </c>
      <c r="J202" t="inlineStr">
        <is>
          <t>Norte</t>
        </is>
      </c>
      <c r="K202" t="inlineStr">
        <is>
          <t>SUC-02</t>
        </is>
      </c>
      <c r="L202" t="inlineStr">
        <is>
          <t>Digital</t>
        </is>
      </c>
      <c r="M202" t="inlineStr">
        <is>
          <t>Pendiente</t>
        </is>
      </c>
      <c r="N202" t="inlineStr">
        <is>
          <t>Alta</t>
        </is>
      </c>
      <c r="O202" t="n">
        <v>40</v>
      </c>
      <c r="P202" s="14" t="n">
        <v>4037</v>
      </c>
      <c r="Q202" s="15" t="n">
        <v>0.05</v>
      </c>
      <c r="R202" s="14" t="n">
        <v>2260.72</v>
      </c>
      <c r="S202" s="12" t="n">
        <v>46238</v>
      </c>
      <c r="T202" s="12" t="n">
        <v>46239</v>
      </c>
      <c r="U202" t="inlineStr">
        <is>
          <t>Resp 10</t>
        </is>
      </c>
      <c r="V202" t="inlineStr">
        <is>
          <t>archivo_04.csv</t>
        </is>
      </c>
      <c r="W202" s="14" t="n">
        <v>161480</v>
      </c>
      <c r="X202" s="14" t="n">
        <v>8074</v>
      </c>
      <c r="Y202" s="14" t="n">
        <v>153406</v>
      </c>
      <c r="Z202" s="14" t="n">
        <v>90428.79999999999</v>
      </c>
      <c r="AA202" s="14" t="n">
        <v>62977.20000000001</v>
      </c>
      <c r="AB202" s="15" t="n">
        <v>0.4105263157894737</v>
      </c>
      <c r="AC202" t="n">
        <v>9</v>
      </c>
      <c r="AD202" t="inlineStr">
        <is>
          <t>NORTE|OP-000201|20260727|P-100</t>
        </is>
      </c>
      <c r="AE202" t="n">
        <v>1</v>
      </c>
    </row>
    <row r="203">
      <c r="A203" t="n">
        <v>202</v>
      </c>
      <c r="B203" t="inlineStr">
        <is>
          <t>OP-000202</t>
        </is>
      </c>
      <c r="C203" s="12" t="n">
        <v>46237</v>
      </c>
      <c r="D203" s="13" t="n">
        <v>0.7430555555555556</v>
      </c>
      <c r="E203" t="inlineStr">
        <is>
          <t>C-0028</t>
        </is>
      </c>
      <c r="F203" t="inlineStr">
        <is>
          <t>Cliente 28</t>
        </is>
      </c>
      <c r="G203" t="inlineStr">
        <is>
          <t>P-200</t>
        </is>
      </c>
      <c r="H203" t="inlineStr">
        <is>
          <t>Teclado</t>
        </is>
      </c>
      <c r="I203" t="inlineStr">
        <is>
          <t>Tecnologia</t>
        </is>
      </c>
      <c r="J203" t="inlineStr">
        <is>
          <t>Centro</t>
        </is>
      </c>
      <c r="K203" t="inlineStr">
        <is>
          <t>SUC-03</t>
        </is>
      </c>
      <c r="L203" t="inlineStr">
        <is>
          <t>Tienda</t>
        </is>
      </c>
      <c r="M203" t="inlineStr">
        <is>
          <t>Cancelado</t>
        </is>
      </c>
      <c r="N203" t="inlineStr">
        <is>
          <t>Media</t>
        </is>
      </c>
      <c r="O203" t="n">
        <v>43</v>
      </c>
      <c r="P203" s="14" t="n">
        <v>4174</v>
      </c>
      <c r="Q203" s="15" t="n">
        <v>0.1</v>
      </c>
      <c r="R203" s="14" t="n">
        <v>2379.18</v>
      </c>
      <c r="S203" s="12" t="n">
        <v>46246</v>
      </c>
      <c r="T203" s="12" t="n">
        <v>46247</v>
      </c>
      <c r="U203" t="inlineStr">
        <is>
          <t>Resp 11</t>
        </is>
      </c>
      <c r="V203" t="inlineStr">
        <is>
          <t>archivo_05.csv</t>
        </is>
      </c>
      <c r="W203" s="14" t="n">
        <v>179482</v>
      </c>
      <c r="X203" s="14" t="n">
        <v>17948.2</v>
      </c>
      <c r="Y203" s="14" t="n">
        <v>161533.8</v>
      </c>
      <c r="Z203" s="14" t="n">
        <v>102304.74</v>
      </c>
      <c r="AA203" s="14" t="n">
        <v>59229.06</v>
      </c>
      <c r="AB203" s="15" t="n">
        <v>0.3666666666666667</v>
      </c>
      <c r="AC203" t="n">
        <v>10</v>
      </c>
      <c r="AD203" t="inlineStr">
        <is>
          <t>CENTRO|OP-000202|20260803|P-200</t>
        </is>
      </c>
      <c r="AE203" t="n">
        <v>1</v>
      </c>
    </row>
    <row r="204">
      <c r="A204" t="n">
        <v>203</v>
      </c>
      <c r="B204" t="inlineStr">
        <is>
          <t>OP-000203</t>
        </is>
      </c>
      <c r="C204" s="12" t="n">
        <v>46244</v>
      </c>
      <c r="D204" s="13" t="n">
        <v>0.7881944444444444</v>
      </c>
      <c r="E204" t="inlineStr">
        <is>
          <t>C-0029</t>
        </is>
      </c>
      <c r="F204" t="inlineStr">
        <is>
          <t>Cliente 29</t>
        </is>
      </c>
      <c r="G204" t="inlineStr">
        <is>
          <t>P-300</t>
        </is>
      </c>
      <c r="H204" t="inlineStr">
        <is>
          <t>Mouse</t>
        </is>
      </c>
      <c r="I204" t="inlineStr">
        <is>
          <t>Tecnologia</t>
        </is>
      </c>
      <c r="J204" t="inlineStr">
        <is>
          <t>Sur</t>
        </is>
      </c>
      <c r="K204" t="inlineStr">
        <is>
          <t>SUC-04</t>
        </is>
      </c>
      <c r="L204" t="inlineStr">
        <is>
          <t>Distribuidor</t>
        </is>
      </c>
      <c r="M204" t="inlineStr">
        <is>
          <t>En revision</t>
        </is>
      </c>
      <c r="N204" t="inlineStr">
        <is>
          <t>Baja</t>
        </is>
      </c>
      <c r="O204" t="n">
        <v>46</v>
      </c>
      <c r="P204" s="14" t="n">
        <v>4311</v>
      </c>
      <c r="Q204" s="15" t="n">
        <v>0.15</v>
      </c>
      <c r="R204" s="14" t="n">
        <v>2500.38</v>
      </c>
      <c r="S204" s="12" t="n">
        <v>46254</v>
      </c>
      <c r="T204" s="12" t="n">
        <v>46255</v>
      </c>
      <c r="U204" t="inlineStr">
        <is>
          <t>Resp 12</t>
        </is>
      </c>
      <c r="V204" t="inlineStr">
        <is>
          <t>archivo_06.csv</t>
        </is>
      </c>
      <c r="W204" s="14" t="n">
        <v>198306</v>
      </c>
      <c r="X204" s="14" t="n">
        <v>29745.9</v>
      </c>
      <c r="Y204" s="14" t="n">
        <v>168560.1</v>
      </c>
      <c r="Z204" s="14" t="n">
        <v>115017.48</v>
      </c>
      <c r="AA204" s="14" t="n">
        <v>53542.62</v>
      </c>
      <c r="AB204" s="15" t="n">
        <v>0.3176470588235294</v>
      </c>
      <c r="AC204" t="n">
        <v>11</v>
      </c>
      <c r="AD204" t="inlineStr">
        <is>
          <t>SUR|OP-000203|20260810|P-300</t>
        </is>
      </c>
      <c r="AE204" t="n">
        <v>1</v>
      </c>
    </row>
    <row r="205">
      <c r="A205" t="n">
        <v>204</v>
      </c>
      <c r="B205" t="inlineStr">
        <is>
          <t>OP-000204</t>
        </is>
      </c>
      <c r="C205" s="12" t="n">
        <v>46251</v>
      </c>
      <c r="D205" s="13" t="n">
        <v>0.2916666666666667</v>
      </c>
      <c r="E205" t="inlineStr">
        <is>
          <t>C-0030</t>
        </is>
      </c>
      <c r="F205" t="inlineStr">
        <is>
          <t>Cliente 30</t>
        </is>
      </c>
      <c r="G205" t="inlineStr">
        <is>
          <t>P-400</t>
        </is>
      </c>
      <c r="H205" t="inlineStr">
        <is>
          <t>Laptop</t>
        </is>
      </c>
      <c r="I205" t="inlineStr">
        <is>
          <t>Tecnologia</t>
        </is>
      </c>
      <c r="J205" t="inlineStr">
        <is>
          <t>Pacifico</t>
        </is>
      </c>
      <c r="K205" t="inlineStr">
        <is>
          <t>SUC-05</t>
        </is>
      </c>
      <c r="L205" t="inlineStr">
        <is>
          <t>Digital</t>
        </is>
      </c>
      <c r="M205" t="inlineStr">
        <is>
          <t>Aprobado</t>
        </is>
      </c>
      <c r="N205" t="inlineStr">
        <is>
          <t>Critica</t>
        </is>
      </c>
      <c r="O205" t="n">
        <v>2</v>
      </c>
      <c r="P205" s="14" t="n">
        <v>4448</v>
      </c>
      <c r="Q205" s="15" t="n">
        <v>0</v>
      </c>
      <c r="R205" s="14" t="n">
        <v>2624.32</v>
      </c>
      <c r="S205" s="12" t="n">
        <v>46262</v>
      </c>
      <c r="T205" s="12" t="n">
        <v>46263</v>
      </c>
      <c r="U205" t="inlineStr">
        <is>
          <t>Resp 1</t>
        </is>
      </c>
      <c r="V205" t="inlineStr">
        <is>
          <t>archivo_01.csv</t>
        </is>
      </c>
      <c r="W205" s="14" t="n">
        <v>8896</v>
      </c>
      <c r="X205" s="14" t="n">
        <v>0</v>
      </c>
      <c r="Y205" s="14" t="n">
        <v>8896</v>
      </c>
      <c r="Z205" s="14" t="n">
        <v>5248.64</v>
      </c>
      <c r="AA205" s="14" t="n">
        <v>3647.36</v>
      </c>
      <c r="AB205" s="15" t="n">
        <v>0.41</v>
      </c>
      <c r="AC205" t="n">
        <v>12</v>
      </c>
      <c r="AD205" t="inlineStr">
        <is>
          <t>PACIFICO|OP-000204|20260817|P-400</t>
        </is>
      </c>
      <c r="AE205" t="n">
        <v>1</v>
      </c>
    </row>
    <row r="206">
      <c r="A206" t="n">
        <v>205</v>
      </c>
      <c r="B206" t="inlineStr">
        <is>
          <t>OP-000205</t>
        </is>
      </c>
      <c r="C206" s="12" t="n">
        <v>46258</v>
      </c>
      <c r="D206" s="13" t="n">
        <v>0.3368055555555556</v>
      </c>
      <c r="E206" t="inlineStr">
        <is>
          <t>C-0031</t>
        </is>
      </c>
      <c r="F206" t="inlineStr">
        <is>
          <t>Cliente 31</t>
        </is>
      </c>
      <c r="G206" t="inlineStr">
        <is>
          <t>P-500</t>
        </is>
      </c>
      <c r="H206" t="inlineStr">
        <is>
          <t>Dock</t>
        </is>
      </c>
      <c r="I206" t="inlineStr">
        <is>
          <t>Tecnologia</t>
        </is>
      </c>
      <c r="J206" t="inlineStr">
        <is>
          <t>Norte</t>
        </is>
      </c>
      <c r="K206" t="inlineStr">
        <is>
          <t>SUC-06</t>
        </is>
      </c>
      <c r="L206" t="inlineStr">
        <is>
          <t>Tienda</t>
        </is>
      </c>
      <c r="M206" t="inlineStr">
        <is>
          <t>Pendiente</t>
        </is>
      </c>
      <c r="N206" t="inlineStr">
        <is>
          <t>Alta</t>
        </is>
      </c>
      <c r="O206" t="n">
        <v>5</v>
      </c>
      <c r="P206" s="14" t="n">
        <v>4585</v>
      </c>
      <c r="Q206" s="15" t="n">
        <v>0.05</v>
      </c>
      <c r="R206" s="14" t="n">
        <v>2751</v>
      </c>
      <c r="S206" s="12" t="n">
        <v>46270</v>
      </c>
      <c r="T206" s="12" t="n">
        <v>46271</v>
      </c>
      <c r="U206" t="inlineStr">
        <is>
          <t>Resp 2</t>
        </is>
      </c>
      <c r="V206" t="inlineStr">
        <is>
          <t>archivo_02.csv</t>
        </is>
      </c>
      <c r="W206" s="14" t="n">
        <v>22925</v>
      </c>
      <c r="X206" s="14" t="n">
        <v>1146.25</v>
      </c>
      <c r="Y206" s="14" t="n">
        <v>21778.75</v>
      </c>
      <c r="Z206" s="14" t="n">
        <v>13755</v>
      </c>
      <c r="AA206" s="14" t="n">
        <v>8023.75</v>
      </c>
      <c r="AB206" s="15" t="n">
        <v>0.3684210526315789</v>
      </c>
      <c r="AC206" t="n">
        <v>13</v>
      </c>
      <c r="AD206" t="inlineStr">
        <is>
          <t>NORTE|OP-000205|20260824|P-500</t>
        </is>
      </c>
      <c r="AE206" t="n">
        <v>1</v>
      </c>
    </row>
    <row r="207">
      <c r="A207" t="n">
        <v>206</v>
      </c>
      <c r="B207" t="inlineStr">
        <is>
          <t>OP-000206</t>
        </is>
      </c>
      <c r="C207" s="12" t="n">
        <v>46025</v>
      </c>
      <c r="D207" s="13" t="n">
        <v>0.3819444444444444</v>
      </c>
      <c r="E207" t="inlineStr">
        <is>
          <t>C-0032</t>
        </is>
      </c>
      <c r="F207" t="inlineStr">
        <is>
          <t>Cliente 32</t>
        </is>
      </c>
      <c r="G207" t="inlineStr">
        <is>
          <t>P-100</t>
        </is>
      </c>
      <c r="H207" t="inlineStr">
        <is>
          <t>Monitor 24</t>
        </is>
      </c>
      <c r="I207" t="inlineStr">
        <is>
          <t>Tecnologia</t>
        </is>
      </c>
      <c r="J207" t="inlineStr">
        <is>
          <t>Centro</t>
        </is>
      </c>
      <c r="K207" t="inlineStr">
        <is>
          <t>SUC-07</t>
        </is>
      </c>
      <c r="L207" t="inlineStr">
        <is>
          <t>Distribuidor</t>
        </is>
      </c>
      <c r="M207" t="inlineStr">
        <is>
          <t>Cancelado</t>
        </is>
      </c>
      <c r="N207" t="inlineStr">
        <is>
          <t>Media</t>
        </is>
      </c>
      <c r="O207" t="n">
        <v>8</v>
      </c>
      <c r="P207" s="14" t="n">
        <v>4722</v>
      </c>
      <c r="Q207" s="15" t="n">
        <v>0.1</v>
      </c>
      <c r="R207" s="14" t="n">
        <v>2880.42</v>
      </c>
      <c r="S207" s="12" t="n">
        <v>46038</v>
      </c>
      <c r="T207" s="12" t="n">
        <v>46039</v>
      </c>
      <c r="U207" t="inlineStr">
        <is>
          <t>Resp 3</t>
        </is>
      </c>
      <c r="V207" t="inlineStr">
        <is>
          <t>archivo_03.csv</t>
        </is>
      </c>
      <c r="W207" s="14" t="n">
        <v>37776</v>
      </c>
      <c r="X207" s="14" t="n">
        <v>3777.6</v>
      </c>
      <c r="Y207" s="14" t="n">
        <v>33998.4</v>
      </c>
      <c r="Z207" s="14" t="n">
        <v>23043.36</v>
      </c>
      <c r="AA207" s="14" t="n">
        <v>10955.04</v>
      </c>
      <c r="AB207" s="15" t="n">
        <v>0.3222222222222222</v>
      </c>
      <c r="AC207" t="n">
        <v>14</v>
      </c>
      <c r="AD207" t="inlineStr">
        <is>
          <t>CENTRO|OP-000206|20260103|P-100</t>
        </is>
      </c>
      <c r="AE207" t="n">
        <v>1</v>
      </c>
    </row>
    <row r="208">
      <c r="A208" t="n">
        <v>207</v>
      </c>
      <c r="B208" t="inlineStr">
        <is>
          <t>OP-000207</t>
        </is>
      </c>
      <c r="C208" s="12" t="n">
        <v>46032</v>
      </c>
      <c r="D208" s="13" t="n">
        <v>0.4270833333333333</v>
      </c>
      <c r="E208" t="inlineStr">
        <is>
          <t>C-0033</t>
        </is>
      </c>
      <c r="F208" t="inlineStr">
        <is>
          <t>Cliente 33</t>
        </is>
      </c>
      <c r="G208" t="inlineStr">
        <is>
          <t>P-200</t>
        </is>
      </c>
      <c r="H208" t="inlineStr">
        <is>
          <t>Teclado</t>
        </is>
      </c>
      <c r="I208" t="inlineStr">
        <is>
          <t>Tecnologia</t>
        </is>
      </c>
      <c r="J208" t="inlineStr">
        <is>
          <t>Sur</t>
        </is>
      </c>
      <c r="K208" t="inlineStr">
        <is>
          <t>SUC-08</t>
        </is>
      </c>
      <c r="L208" t="inlineStr">
        <is>
          <t>Digital</t>
        </is>
      </c>
      <c r="M208" t="inlineStr">
        <is>
          <t>En revision</t>
        </is>
      </c>
      <c r="N208" t="inlineStr">
        <is>
          <t>Baja</t>
        </is>
      </c>
      <c r="O208" t="n">
        <v>11</v>
      </c>
      <c r="P208" s="14" t="n">
        <v>4859</v>
      </c>
      <c r="Q208" s="15" t="n">
        <v>0.15</v>
      </c>
      <c r="R208" s="14" t="n">
        <v>3012.58</v>
      </c>
      <c r="S208" s="12" t="n">
        <v>46046</v>
      </c>
      <c r="T208" s="12" t="n">
        <v>46047</v>
      </c>
      <c r="U208" t="inlineStr">
        <is>
          <t>Resp 4</t>
        </is>
      </c>
      <c r="V208" t="inlineStr">
        <is>
          <t>archivo_04.csv</t>
        </is>
      </c>
      <c r="W208" s="14" t="n">
        <v>53449</v>
      </c>
      <c r="X208" s="14" t="n">
        <v>8017.349999999999</v>
      </c>
      <c r="Y208" s="14" t="n">
        <v>45431.65</v>
      </c>
      <c r="Z208" s="14" t="n">
        <v>33138.38</v>
      </c>
      <c r="AA208" s="14" t="n">
        <v>12293.27</v>
      </c>
      <c r="AB208" s="15" t="n">
        <v>0.2705882352941177</v>
      </c>
      <c r="AC208" t="n">
        <v>15</v>
      </c>
      <c r="AD208" t="inlineStr">
        <is>
          <t>SUR|OP-000207|20260110|P-200</t>
        </is>
      </c>
      <c r="AE208" t="n">
        <v>1</v>
      </c>
    </row>
    <row r="209">
      <c r="A209" t="n">
        <v>208</v>
      </c>
      <c r="B209" t="inlineStr">
        <is>
          <t>OP-000208</t>
        </is>
      </c>
      <c r="C209" s="12" t="n">
        <v>46039</v>
      </c>
      <c r="D209" s="13" t="n">
        <v>0.4722222222222222</v>
      </c>
      <c r="E209" t="inlineStr">
        <is>
          <t>C-0034</t>
        </is>
      </c>
      <c r="F209" t="inlineStr">
        <is>
          <t>Cliente 34</t>
        </is>
      </c>
      <c r="G209" t="inlineStr">
        <is>
          <t>P-300</t>
        </is>
      </c>
      <c r="H209" t="inlineStr">
        <is>
          <t>Mouse</t>
        </is>
      </c>
      <c r="I209" t="inlineStr">
        <is>
          <t>Tecnologia</t>
        </is>
      </c>
      <c r="J209" t="inlineStr">
        <is>
          <t>Pacifico</t>
        </is>
      </c>
      <c r="K209" t="inlineStr">
        <is>
          <t>SUC-01</t>
        </is>
      </c>
      <c r="L209" t="inlineStr">
        <is>
          <t>Tienda</t>
        </is>
      </c>
      <c r="M209" t="inlineStr">
        <is>
          <t>Aprobado</t>
        </is>
      </c>
      <c r="N209" t="inlineStr">
        <is>
          <t>Critica</t>
        </is>
      </c>
      <c r="O209" t="n">
        <v>14</v>
      </c>
      <c r="P209" s="14" t="n">
        <v>4996</v>
      </c>
      <c r="Q209" s="15" t="n">
        <v>0</v>
      </c>
      <c r="R209" s="14" t="n">
        <v>2747.8</v>
      </c>
      <c r="S209" s="12" t="n">
        <v>46054</v>
      </c>
      <c r="T209" s="12" t="n">
        <v>46055</v>
      </c>
      <c r="U209" t="inlineStr">
        <is>
          <t>Resp 5</t>
        </is>
      </c>
      <c r="V209" t="inlineStr">
        <is>
          <t>archivo_05.csv</t>
        </is>
      </c>
      <c r="W209" s="14" t="n">
        <v>69944</v>
      </c>
      <c r="X209" s="14" t="n">
        <v>0</v>
      </c>
      <c r="Y209" s="14" t="n">
        <v>69944</v>
      </c>
      <c r="Z209" s="14" t="n">
        <v>38469.2</v>
      </c>
      <c r="AA209" s="14" t="n">
        <v>31474.8</v>
      </c>
      <c r="AB209" s="15" t="n">
        <v>0.45</v>
      </c>
      <c r="AC209" t="n">
        <v>16</v>
      </c>
      <c r="AD209" t="inlineStr">
        <is>
          <t>PACIFICO|OP-000208|20260117|P-300</t>
        </is>
      </c>
      <c r="AE209" t="n">
        <v>1</v>
      </c>
    </row>
    <row r="210">
      <c r="A210" t="n">
        <v>209</v>
      </c>
      <c r="B210" t="inlineStr">
        <is>
          <t>OP-000209</t>
        </is>
      </c>
      <c r="C210" s="12" t="n">
        <v>46046</v>
      </c>
      <c r="D210" s="13" t="n">
        <v>0.5173611111111112</v>
      </c>
      <c r="E210" t="inlineStr">
        <is>
          <t>C-0035</t>
        </is>
      </c>
      <c r="F210" t="inlineStr">
        <is>
          <t>Cliente 35</t>
        </is>
      </c>
      <c r="G210" t="inlineStr">
        <is>
          <t>P-400</t>
        </is>
      </c>
      <c r="H210" t="inlineStr">
        <is>
          <t>Laptop</t>
        </is>
      </c>
      <c r="I210" t="inlineStr">
        <is>
          <t>Tecnologia</t>
        </is>
      </c>
      <c r="J210" t="inlineStr">
        <is>
          <t>Norte</t>
        </is>
      </c>
      <c r="K210" t="inlineStr">
        <is>
          <t>SUC-02</t>
        </is>
      </c>
      <c r="L210" t="inlineStr">
        <is>
          <t>Distribuidor</t>
        </is>
      </c>
      <c r="M210" t="inlineStr">
        <is>
          <t>Pendiente</t>
        </is>
      </c>
      <c r="N210" t="inlineStr">
        <is>
          <t>Alta</t>
        </is>
      </c>
      <c r="O210" t="n">
        <v>17</v>
      </c>
      <c r="P210" s="14" t="n">
        <v>5133</v>
      </c>
      <c r="Q210" s="15" t="n">
        <v>0.05</v>
      </c>
      <c r="R210" s="14" t="n">
        <v>2874.48</v>
      </c>
      <c r="S210" s="12" t="n">
        <v>46062</v>
      </c>
      <c r="T210" s="12" t="n">
        <v>46063</v>
      </c>
      <c r="U210" t="inlineStr">
        <is>
          <t>Resp 6</t>
        </is>
      </c>
      <c r="V210" t="inlineStr">
        <is>
          <t>archivo_06.csv</t>
        </is>
      </c>
      <c r="W210" s="14" t="n">
        <v>87261</v>
      </c>
      <c r="X210" s="14" t="n">
        <v>4363.05</v>
      </c>
      <c r="Y210" s="14" t="n">
        <v>82897.95</v>
      </c>
      <c r="Z210" s="14" t="n">
        <v>48866.16</v>
      </c>
      <c r="AA210" s="14" t="n">
        <v>34031.78999999999</v>
      </c>
      <c r="AB210" s="15" t="n">
        <v>0.4105263157894736</v>
      </c>
      <c r="AC210" t="n">
        <v>17</v>
      </c>
      <c r="AD210" t="inlineStr">
        <is>
          <t>NORTE|OP-000209|20260124|P-400</t>
        </is>
      </c>
      <c r="AE210" t="n">
        <v>1</v>
      </c>
    </row>
    <row r="211">
      <c r="A211" t="n">
        <v>210</v>
      </c>
      <c r="B211" t="inlineStr">
        <is>
          <t>OP-000210</t>
        </is>
      </c>
      <c r="C211" s="12" t="n">
        <v>46053</v>
      </c>
      <c r="D211" s="13" t="n">
        <v>0.5625</v>
      </c>
      <c r="E211" t="inlineStr">
        <is>
          <t>C-0001</t>
        </is>
      </c>
      <c r="F211" t="inlineStr">
        <is>
          <t>Cliente 1</t>
        </is>
      </c>
      <c r="G211" t="inlineStr">
        <is>
          <t>P-500</t>
        </is>
      </c>
      <c r="H211" t="inlineStr">
        <is>
          <t>Dock</t>
        </is>
      </c>
      <c r="I211" t="inlineStr">
        <is>
          <t>Tecnologia</t>
        </is>
      </c>
      <c r="J211" t="inlineStr">
        <is>
          <t>Centro</t>
        </is>
      </c>
      <c r="K211" t="inlineStr">
        <is>
          <t>SUC-03</t>
        </is>
      </c>
      <c r="L211" t="inlineStr">
        <is>
          <t>Digital</t>
        </is>
      </c>
      <c r="M211" t="inlineStr">
        <is>
          <t>Cancelado</t>
        </is>
      </c>
      <c r="N211" t="inlineStr">
        <is>
          <t>Media</t>
        </is>
      </c>
      <c r="O211" t="n">
        <v>20</v>
      </c>
      <c r="P211" s="14" t="n">
        <v>5270</v>
      </c>
      <c r="Q211" s="15" t="n">
        <v>0.1</v>
      </c>
      <c r="R211" s="14" t="n">
        <v>3003.9</v>
      </c>
      <c r="S211" s="12" t="n">
        <v>46060</v>
      </c>
      <c r="T211" s="12" t="n">
        <v>46056</v>
      </c>
      <c r="U211" t="inlineStr">
        <is>
          <t>Resp 7</t>
        </is>
      </c>
      <c r="V211" t="inlineStr">
        <is>
          <t>archivo_01.csv</t>
        </is>
      </c>
      <c r="W211" s="14" t="n">
        <v>105400</v>
      </c>
      <c r="X211" s="14" t="n">
        <v>10540</v>
      </c>
      <c r="Y211" s="14" t="n">
        <v>94860</v>
      </c>
      <c r="Z211" s="14" t="n">
        <v>60078</v>
      </c>
      <c r="AA211" s="14" t="n">
        <v>34782</v>
      </c>
      <c r="AB211" s="15" t="n">
        <v>0.3666666666666666</v>
      </c>
      <c r="AC211" t="n">
        <v>3</v>
      </c>
      <c r="AD211" t="inlineStr">
        <is>
          <t>CENTRO|OP-000210|20260131|P-500</t>
        </is>
      </c>
      <c r="AE211" t="n">
        <v>1</v>
      </c>
    </row>
    <row r="212">
      <c r="A212" t="n">
        <v>211</v>
      </c>
      <c r="B212" t="inlineStr">
        <is>
          <t>OP-000211</t>
        </is>
      </c>
      <c r="C212" s="12" t="n">
        <v>46060</v>
      </c>
      <c r="D212" s="13" t="n">
        <v>0.6076388888888888</v>
      </c>
      <c r="E212" t="inlineStr">
        <is>
          <t>C-0002</t>
        </is>
      </c>
      <c r="F212" t="inlineStr">
        <is>
          <t>Cliente 2</t>
        </is>
      </c>
      <c r="G212" t="inlineStr">
        <is>
          <t>P-100</t>
        </is>
      </c>
      <c r="H212" t="inlineStr">
        <is>
          <t>Monitor 24</t>
        </is>
      </c>
      <c r="I212" t="inlineStr">
        <is>
          <t>Tecnologia</t>
        </is>
      </c>
      <c r="J212" t="inlineStr">
        <is>
          <t>Sur</t>
        </is>
      </c>
      <c r="K212" t="inlineStr">
        <is>
          <t>SUC-04</t>
        </is>
      </c>
      <c r="L212" t="inlineStr">
        <is>
          <t>Tienda</t>
        </is>
      </c>
      <c r="M212" t="inlineStr">
        <is>
          <t>En revision</t>
        </is>
      </c>
      <c r="N212" t="inlineStr">
        <is>
          <t>Baja</t>
        </is>
      </c>
      <c r="O212" t="n">
        <v>23</v>
      </c>
      <c r="P212" s="14" t="n">
        <v>5407</v>
      </c>
      <c r="Q212" s="15" t="n">
        <v>0.15</v>
      </c>
      <c r="R212" s="14" t="n">
        <v>3136.06</v>
      </c>
      <c r="S212" s="12" t="n">
        <v>46068</v>
      </c>
      <c r="T212" s="12" t="n">
        <v>46064</v>
      </c>
      <c r="U212" t="inlineStr">
        <is>
          <t>Resp 8</t>
        </is>
      </c>
      <c r="V212" t="inlineStr">
        <is>
          <t>archivo_02.csv</t>
        </is>
      </c>
      <c r="W212" s="14" t="n">
        <v>124361</v>
      </c>
      <c r="X212" s="14" t="n">
        <v>18654.15</v>
      </c>
      <c r="Y212" s="14" t="n">
        <v>105706.85</v>
      </c>
      <c r="Z212" s="14" t="n">
        <v>72129.38</v>
      </c>
      <c r="AA212" s="14" t="n">
        <v>33577.47</v>
      </c>
      <c r="AB212" s="15" t="n">
        <v>0.3176470588235294</v>
      </c>
      <c r="AC212" t="n">
        <v>4</v>
      </c>
      <c r="AD212" t="inlineStr">
        <is>
          <t>SUR|OP-000211|20260207|P-100</t>
        </is>
      </c>
      <c r="AE212" t="n">
        <v>1</v>
      </c>
    </row>
    <row r="213">
      <c r="A213" t="n">
        <v>212</v>
      </c>
      <c r="B213" t="inlineStr">
        <is>
          <t>OP-000212</t>
        </is>
      </c>
      <c r="C213" s="12" t="n">
        <v>46067</v>
      </c>
      <c r="D213" s="13" t="n">
        <v>0.6527777777777778</v>
      </c>
      <c r="E213" t="inlineStr">
        <is>
          <t>C-0003</t>
        </is>
      </c>
      <c r="F213" t="inlineStr">
        <is>
          <t>Cliente 3</t>
        </is>
      </c>
      <c r="G213" t="inlineStr">
        <is>
          <t>P-200</t>
        </is>
      </c>
      <c r="H213" t="inlineStr">
        <is>
          <t>Teclado</t>
        </is>
      </c>
      <c r="I213" t="inlineStr">
        <is>
          <t>Tecnologia</t>
        </is>
      </c>
      <c r="J213" t="inlineStr">
        <is>
          <t>Pacifico</t>
        </is>
      </c>
      <c r="K213" t="inlineStr">
        <is>
          <t>SUC-05</t>
        </is>
      </c>
      <c r="L213" t="inlineStr">
        <is>
          <t>Distribuidor</t>
        </is>
      </c>
      <c r="M213" t="inlineStr">
        <is>
          <t>Aprobado</t>
        </is>
      </c>
      <c r="N213" t="inlineStr">
        <is>
          <t>Critica</t>
        </is>
      </c>
      <c r="O213" t="n">
        <v>26</v>
      </c>
      <c r="P213" s="14" t="n">
        <v>5544</v>
      </c>
      <c r="Q213" s="15" t="n">
        <v>0</v>
      </c>
      <c r="R213" s="14" t="n">
        <v>3270.96</v>
      </c>
      <c r="S213" s="12" t="n">
        <v>46076</v>
      </c>
      <c r="T213" s="12" t="n">
        <v>46072</v>
      </c>
      <c r="U213" t="inlineStr">
        <is>
          <t>Resp 9</t>
        </is>
      </c>
      <c r="V213" t="inlineStr">
        <is>
          <t>archivo_03.csv</t>
        </is>
      </c>
      <c r="W213" s="14" t="n">
        <v>144144</v>
      </c>
      <c r="X213" s="14" t="n">
        <v>0</v>
      </c>
      <c r="Y213" s="14" t="n">
        <v>144144</v>
      </c>
      <c r="Z213" s="14" t="n">
        <v>85044.96000000001</v>
      </c>
      <c r="AA213" s="14" t="n">
        <v>59099.03999999999</v>
      </c>
      <c r="AB213" s="15" t="n">
        <v>0.41</v>
      </c>
      <c r="AC213" t="n">
        <v>5</v>
      </c>
      <c r="AD213" t="inlineStr">
        <is>
          <t>PACIFICO|OP-000212|20260214|P-200</t>
        </is>
      </c>
      <c r="AE213" t="n">
        <v>1</v>
      </c>
    </row>
    <row r="214">
      <c r="A214" t="n">
        <v>213</v>
      </c>
      <c r="B214" t="inlineStr">
        <is>
          <t>OP-000213</t>
        </is>
      </c>
      <c r="C214" s="12" t="n">
        <v>46074</v>
      </c>
      <c r="D214" s="13" t="n">
        <v>0.6979166666666666</v>
      </c>
      <c r="E214" t="inlineStr">
        <is>
          <t>C-0004</t>
        </is>
      </c>
      <c r="F214" t="inlineStr">
        <is>
          <t>Cliente 4</t>
        </is>
      </c>
      <c r="G214" t="inlineStr">
        <is>
          <t>P-300</t>
        </is>
      </c>
      <c r="H214" t="inlineStr">
        <is>
          <t>Mouse</t>
        </is>
      </c>
      <c r="I214" t="inlineStr">
        <is>
          <t>Tecnologia</t>
        </is>
      </c>
      <c r="J214" t="inlineStr">
        <is>
          <t>Norte</t>
        </is>
      </c>
      <c r="K214" t="inlineStr">
        <is>
          <t>SUC-06</t>
        </is>
      </c>
      <c r="L214" t="inlineStr">
        <is>
          <t>Digital</t>
        </is>
      </c>
      <c r="M214" t="inlineStr">
        <is>
          <t>Pendiente</t>
        </is>
      </c>
      <c r="N214" t="inlineStr">
        <is>
          <t>Alta</t>
        </is>
      </c>
      <c r="O214" t="n">
        <v>29</v>
      </c>
      <c r="P214" s="14" t="n">
        <v>5681</v>
      </c>
      <c r="Q214" s="15" t="n">
        <v>0.05</v>
      </c>
      <c r="R214" s="14" t="n">
        <v>3408.6</v>
      </c>
      <c r="S214" s="12" t="n">
        <v>46084</v>
      </c>
      <c r="T214" s="12" t="n">
        <v>46080</v>
      </c>
      <c r="U214" t="inlineStr">
        <is>
          <t>Resp 10</t>
        </is>
      </c>
      <c r="V214" t="inlineStr">
        <is>
          <t>archivo_04.csv</t>
        </is>
      </c>
      <c r="W214" s="14" t="n">
        <v>164749</v>
      </c>
      <c r="X214" s="14" t="n">
        <v>8237.450000000001</v>
      </c>
      <c r="Y214" s="14" t="n">
        <v>156511.55</v>
      </c>
      <c r="Z214" s="14" t="n">
        <v>98849.39999999999</v>
      </c>
      <c r="AA214" s="14" t="n">
        <v>57662.14999999999</v>
      </c>
      <c r="AB214" s="15" t="n">
        <v>0.3684210526315789</v>
      </c>
      <c r="AC214" t="n">
        <v>6</v>
      </c>
      <c r="AD214" t="inlineStr">
        <is>
          <t>NORTE|OP-000213|20260221|P-300</t>
        </is>
      </c>
      <c r="AE214" t="n">
        <v>1</v>
      </c>
    </row>
    <row r="215">
      <c r="A215" t="n">
        <v>214</v>
      </c>
      <c r="B215" t="inlineStr">
        <is>
          <t>OP-000214</t>
        </is>
      </c>
      <c r="C215" s="12" t="n">
        <v>46081</v>
      </c>
      <c r="D215" s="13" t="n">
        <v>0.7430555555555556</v>
      </c>
      <c r="E215" t="inlineStr">
        <is>
          <t>C-0005</t>
        </is>
      </c>
      <c r="F215" t="inlineStr">
        <is>
          <t>Cliente 5</t>
        </is>
      </c>
      <c r="G215" t="inlineStr">
        <is>
          <t>P-400</t>
        </is>
      </c>
      <c r="H215" t="inlineStr">
        <is>
          <t>Laptop</t>
        </is>
      </c>
      <c r="I215" t="inlineStr">
        <is>
          <t>Tecnologia</t>
        </is>
      </c>
      <c r="J215" t="inlineStr">
        <is>
          <t>Centro</t>
        </is>
      </c>
      <c r="K215" t="inlineStr">
        <is>
          <t>SUC-07</t>
        </is>
      </c>
      <c r="L215" t="inlineStr">
        <is>
          <t>Tienda</t>
        </is>
      </c>
      <c r="M215" t="inlineStr">
        <is>
          <t>Cancelado</t>
        </is>
      </c>
      <c r="N215" t="inlineStr">
        <is>
          <t>Media</t>
        </is>
      </c>
      <c r="O215" t="n">
        <v>32</v>
      </c>
      <c r="P215" s="14" t="n">
        <v>5818</v>
      </c>
      <c r="Q215" s="15" t="n">
        <v>0.1</v>
      </c>
      <c r="R215" s="14" t="n">
        <v>3548.98</v>
      </c>
      <c r="S215" s="12" t="n">
        <v>46092</v>
      </c>
      <c r="T215" s="12" t="n">
        <v>46088</v>
      </c>
      <c r="U215" t="inlineStr">
        <is>
          <t>Resp 11</t>
        </is>
      </c>
      <c r="V215" t="inlineStr">
        <is>
          <t>archivo_05.csv</t>
        </is>
      </c>
      <c r="W215" s="14" t="n">
        <v>186176</v>
      </c>
      <c r="X215" s="14" t="n">
        <v>18617.6</v>
      </c>
      <c r="Y215" s="14" t="n">
        <v>167558.4</v>
      </c>
      <c r="Z215" s="14" t="n">
        <v>113567.36</v>
      </c>
      <c r="AA215" s="14" t="n">
        <v>53991.03999999999</v>
      </c>
      <c r="AB215" s="15" t="n">
        <v>0.3222222222222222</v>
      </c>
      <c r="AC215" t="n">
        <v>7</v>
      </c>
      <c r="AD215" t="inlineStr">
        <is>
          <t>CENTRO|OP-000214|20260228|P-400</t>
        </is>
      </c>
      <c r="AE215" t="n">
        <v>1</v>
      </c>
    </row>
    <row r="216">
      <c r="A216" t="n">
        <v>215</v>
      </c>
      <c r="B216" t="inlineStr">
        <is>
          <t>OP-000215</t>
        </is>
      </c>
      <c r="C216" s="12" t="n">
        <v>46088</v>
      </c>
      <c r="D216" s="13" t="n">
        <v>0.7881944444444444</v>
      </c>
      <c r="E216" t="inlineStr">
        <is>
          <t>C-0006</t>
        </is>
      </c>
      <c r="F216" t="inlineStr">
        <is>
          <t>Cliente 6</t>
        </is>
      </c>
      <c r="G216" t="inlineStr">
        <is>
          <t>P-500</t>
        </is>
      </c>
      <c r="H216" t="inlineStr">
        <is>
          <t>Dock</t>
        </is>
      </c>
      <c r="I216" t="inlineStr">
        <is>
          <t>Tecnologia</t>
        </is>
      </c>
      <c r="J216" t="inlineStr">
        <is>
          <t>Sur</t>
        </is>
      </c>
      <c r="K216" t="inlineStr">
        <is>
          <t>SUC-08</t>
        </is>
      </c>
      <c r="L216" t="inlineStr">
        <is>
          <t>Distribuidor</t>
        </is>
      </c>
      <c r="M216" t="inlineStr">
        <is>
          <t>En revision</t>
        </is>
      </c>
      <c r="N216" t="inlineStr">
        <is>
          <t>Baja</t>
        </is>
      </c>
      <c r="O216" t="n">
        <v>35</v>
      </c>
      <c r="P216" s="14" t="n">
        <v>5955</v>
      </c>
      <c r="Q216" s="15" t="n">
        <v>0.15</v>
      </c>
      <c r="R216" s="14" t="n">
        <v>3692.1</v>
      </c>
      <c r="S216" s="12" t="n">
        <v>46100</v>
      </c>
      <c r="T216" s="12" t="n">
        <v>46096</v>
      </c>
      <c r="U216" t="inlineStr">
        <is>
          <t>Resp 12</t>
        </is>
      </c>
      <c r="V216" t="inlineStr">
        <is>
          <t>archivo_06.csv</t>
        </is>
      </c>
      <c r="W216" s="14" t="n">
        <v>208425</v>
      </c>
      <c r="X216" s="14" t="n">
        <v>31263.75</v>
      </c>
      <c r="Y216" s="14" t="n">
        <v>177161.25</v>
      </c>
      <c r="Z216" s="14" t="n">
        <v>129223.5</v>
      </c>
      <c r="AA216" s="14" t="n">
        <v>47937.75</v>
      </c>
      <c r="AB216" s="15" t="n">
        <v>0.2705882352941176</v>
      </c>
      <c r="AC216" t="n">
        <v>8</v>
      </c>
      <c r="AD216" t="inlineStr">
        <is>
          <t>SUR|OP-000215|20260307|P-500</t>
        </is>
      </c>
      <c r="AE216" t="n">
        <v>1</v>
      </c>
    </row>
    <row r="217">
      <c r="A217" t="n">
        <v>216</v>
      </c>
      <c r="B217" t="inlineStr">
        <is>
          <t>OP-000216</t>
        </is>
      </c>
      <c r="C217" s="12" t="n">
        <v>46095</v>
      </c>
      <c r="D217" s="13" t="n">
        <v>0.2916666666666667</v>
      </c>
      <c r="E217" t="inlineStr">
        <is>
          <t>C-0007</t>
        </is>
      </c>
      <c r="F217" t="inlineStr">
        <is>
          <t>Cliente 7</t>
        </is>
      </c>
      <c r="G217" t="inlineStr">
        <is>
          <t>P-100</t>
        </is>
      </c>
      <c r="H217" t="inlineStr">
        <is>
          <t>Monitor 24</t>
        </is>
      </c>
      <c r="I217" t="inlineStr">
        <is>
          <t>Tecnologia</t>
        </is>
      </c>
      <c r="J217" t="inlineStr">
        <is>
          <t>Pacifico</t>
        </is>
      </c>
      <c r="K217" t="inlineStr">
        <is>
          <t>SUC-01</t>
        </is>
      </c>
      <c r="L217" t="inlineStr">
        <is>
          <t>Digital</t>
        </is>
      </c>
      <c r="M217" t="inlineStr">
        <is>
          <t>Aprobado</t>
        </is>
      </c>
      <c r="N217" t="inlineStr">
        <is>
          <t>Critica</t>
        </is>
      </c>
      <c r="O217" t="n">
        <v>38</v>
      </c>
      <c r="P217" s="14" t="n">
        <v>6092</v>
      </c>
      <c r="Q217" s="15" t="n">
        <v>0</v>
      </c>
      <c r="R217" s="14" t="n">
        <v>3350.6</v>
      </c>
      <c r="S217" s="12" t="n">
        <v>46108</v>
      </c>
      <c r="T217" s="12" t="n">
        <v>46104</v>
      </c>
      <c r="U217" t="inlineStr">
        <is>
          <t>Resp 1</t>
        </is>
      </c>
      <c r="V217" t="inlineStr">
        <is>
          <t>archivo_01.csv</t>
        </is>
      </c>
      <c r="W217" s="14" t="n">
        <v>231496</v>
      </c>
      <c r="X217" s="14" t="n">
        <v>0</v>
      </c>
      <c r="Y217" s="14" t="n">
        <v>231496</v>
      </c>
      <c r="Z217" s="14" t="n">
        <v>127322.8</v>
      </c>
      <c r="AA217" s="14" t="n">
        <v>104173.2</v>
      </c>
      <c r="AB217" s="15" t="n">
        <v>0.45</v>
      </c>
      <c r="AC217" t="n">
        <v>9</v>
      </c>
      <c r="AD217" t="inlineStr">
        <is>
          <t>PACIFICO|OP-000216|20260314|P-100</t>
        </is>
      </c>
      <c r="AE217" t="n">
        <v>1</v>
      </c>
    </row>
    <row r="218">
      <c r="A218" t="n">
        <v>217</v>
      </c>
      <c r="B218" t="inlineStr">
        <is>
          <t>OP-000217</t>
        </is>
      </c>
      <c r="C218" s="12" t="n">
        <v>46102</v>
      </c>
      <c r="D218" s="13" t="n">
        <v>0.3368055555555556</v>
      </c>
      <c r="E218" t="inlineStr">
        <is>
          <t>C-0008</t>
        </is>
      </c>
      <c r="F218" t="inlineStr">
        <is>
          <t>Cliente 8</t>
        </is>
      </c>
      <c r="G218" t="inlineStr">
        <is>
          <t>P-200</t>
        </is>
      </c>
      <c r="H218" t="inlineStr">
        <is>
          <t>Teclado</t>
        </is>
      </c>
      <c r="I218" t="inlineStr">
        <is>
          <t>Tecnologia</t>
        </is>
      </c>
      <c r="J218" t="inlineStr">
        <is>
          <t>Norte</t>
        </is>
      </c>
      <c r="K218" t="inlineStr">
        <is>
          <t>SUC-02</t>
        </is>
      </c>
      <c r="L218" t="inlineStr">
        <is>
          <t>Tienda</t>
        </is>
      </c>
      <c r="M218" t="inlineStr">
        <is>
          <t>Pendiente</t>
        </is>
      </c>
      <c r="N218" t="inlineStr">
        <is>
          <t>Alta</t>
        </is>
      </c>
      <c r="O218" t="n">
        <v>41</v>
      </c>
      <c r="P218" s="14" t="n">
        <v>6229</v>
      </c>
      <c r="Q218" s="15" t="n">
        <v>0.05</v>
      </c>
      <c r="R218" s="14" t="n">
        <v>3488.24</v>
      </c>
      <c r="S218" s="12" t="n">
        <v>46116</v>
      </c>
      <c r="T218" s="12" t="n">
        <v>46112</v>
      </c>
      <c r="U218" t="inlineStr">
        <is>
          <t>Resp 2</t>
        </is>
      </c>
      <c r="V218" t="inlineStr">
        <is>
          <t>archivo_02.csv</t>
        </is>
      </c>
      <c r="W218" s="14" t="n">
        <v>255389</v>
      </c>
      <c r="X218" s="14" t="n">
        <v>12769.45</v>
      </c>
      <c r="Y218" s="14" t="n">
        <v>242619.55</v>
      </c>
      <c r="Z218" s="14" t="n">
        <v>143017.84</v>
      </c>
      <c r="AA218" s="14" t="n">
        <v>99601.70999999999</v>
      </c>
      <c r="AB218" s="15" t="n">
        <v>0.4105263157894737</v>
      </c>
      <c r="AC218" t="n">
        <v>10</v>
      </c>
      <c r="AD218" t="inlineStr">
        <is>
          <t>NORTE|OP-000217|20260321|P-200</t>
        </is>
      </c>
      <c r="AE218" t="n">
        <v>1</v>
      </c>
    </row>
    <row r="219">
      <c r="A219" t="n">
        <v>218</v>
      </c>
      <c r="B219" t="inlineStr">
        <is>
          <t>OP-000218</t>
        </is>
      </c>
      <c r="C219" s="12" t="n">
        <v>46109</v>
      </c>
      <c r="D219" s="13" t="n">
        <v>0.3819444444444444</v>
      </c>
      <c r="E219" t="inlineStr">
        <is>
          <t>C-0009</t>
        </is>
      </c>
      <c r="F219" t="inlineStr">
        <is>
          <t>Cliente 9</t>
        </is>
      </c>
      <c r="G219" t="inlineStr">
        <is>
          <t>P-300</t>
        </is>
      </c>
      <c r="H219" t="inlineStr">
        <is>
          <t>Mouse</t>
        </is>
      </c>
      <c r="I219" t="inlineStr">
        <is>
          <t>Tecnologia</t>
        </is>
      </c>
      <c r="J219" t="inlineStr">
        <is>
          <t>Centro</t>
        </is>
      </c>
      <c r="K219" t="inlineStr">
        <is>
          <t>SUC-03</t>
        </is>
      </c>
      <c r="L219" t="inlineStr">
        <is>
          <t>Distribuidor</t>
        </is>
      </c>
      <c r="M219" t="inlineStr">
        <is>
          <t>Cancelado</t>
        </is>
      </c>
      <c r="N219" t="inlineStr">
        <is>
          <t>Media</t>
        </is>
      </c>
      <c r="O219" t="n">
        <v>44</v>
      </c>
      <c r="P219" s="14" t="n">
        <v>6366</v>
      </c>
      <c r="Q219" s="15" t="n">
        <v>0.1</v>
      </c>
      <c r="R219" s="14" t="n">
        <v>3628.62</v>
      </c>
      <c r="S219" s="12" t="n">
        <v>46124</v>
      </c>
      <c r="T219" s="12" t="n">
        <v>46120</v>
      </c>
      <c r="U219" t="inlineStr">
        <is>
          <t>Resp 3</t>
        </is>
      </c>
      <c r="V219" t="inlineStr">
        <is>
          <t>archivo_03.csv</t>
        </is>
      </c>
      <c r="W219" s="14" t="n">
        <v>280104</v>
      </c>
      <c r="X219" s="14" t="n">
        <v>28010.4</v>
      </c>
      <c r="Y219" s="14" t="n">
        <v>252093.6</v>
      </c>
      <c r="Z219" s="14" t="n">
        <v>159659.28</v>
      </c>
      <c r="AA219" s="14" t="n">
        <v>92434.32000000001</v>
      </c>
      <c r="AB219" s="15" t="n">
        <v>0.3666666666666667</v>
      </c>
      <c r="AC219" t="n">
        <v>11</v>
      </c>
      <c r="AD219" t="inlineStr">
        <is>
          <t>CENTRO|OP-000218|20260328|P-300</t>
        </is>
      </c>
      <c r="AE219" t="n">
        <v>1</v>
      </c>
    </row>
    <row r="220">
      <c r="A220" t="n">
        <v>219</v>
      </c>
      <c r="B220" t="inlineStr">
        <is>
          <t>OP-000219</t>
        </is>
      </c>
      <c r="C220" s="12" t="n">
        <v>46116</v>
      </c>
      <c r="D220" s="13" t="n">
        <v>0.4270833333333333</v>
      </c>
      <c r="E220" t="inlineStr">
        <is>
          <t>C-0010</t>
        </is>
      </c>
      <c r="F220" t="inlineStr">
        <is>
          <t>Cliente 10</t>
        </is>
      </c>
      <c r="G220" t="inlineStr">
        <is>
          <t>P-400</t>
        </is>
      </c>
      <c r="H220" t="inlineStr">
        <is>
          <t>Laptop</t>
        </is>
      </c>
      <c r="I220" t="inlineStr">
        <is>
          <t>Tecnologia</t>
        </is>
      </c>
      <c r="J220" t="inlineStr">
        <is>
          <t>Sur</t>
        </is>
      </c>
      <c r="K220" t="inlineStr">
        <is>
          <t>SUC-04</t>
        </is>
      </c>
      <c r="L220" t="inlineStr">
        <is>
          <t>Digital</t>
        </is>
      </c>
      <c r="M220" t="inlineStr">
        <is>
          <t>En revision</t>
        </is>
      </c>
      <c r="N220" t="inlineStr">
        <is>
          <t>Baja</t>
        </is>
      </c>
      <c r="O220" t="n">
        <v>47</v>
      </c>
      <c r="P220" s="14" t="n">
        <v>6503</v>
      </c>
      <c r="Q220" s="15" t="n">
        <v>0.15</v>
      </c>
      <c r="R220" s="14" t="n">
        <v>3771.74</v>
      </c>
      <c r="S220" s="12" t="n">
        <v>46132</v>
      </c>
      <c r="T220" s="12" t="n">
        <v>46128</v>
      </c>
      <c r="U220" t="inlineStr">
        <is>
          <t>Resp 4</t>
        </is>
      </c>
      <c r="V220" t="inlineStr">
        <is>
          <t>archivo_04.csv</t>
        </is>
      </c>
      <c r="W220" s="14" t="n">
        <v>305641</v>
      </c>
      <c r="X220" s="14" t="n">
        <v>45846.15</v>
      </c>
      <c r="Y220" s="14" t="n">
        <v>259794.85</v>
      </c>
      <c r="Z220" s="14" t="n">
        <v>177271.78</v>
      </c>
      <c r="AA220" s="14" t="n">
        <v>82523.07000000001</v>
      </c>
      <c r="AB220" s="15" t="n">
        <v>0.3176470588235294</v>
      </c>
      <c r="AC220" t="n">
        <v>12</v>
      </c>
      <c r="AD220" t="inlineStr">
        <is>
          <t>SUR|OP-000219|20260404|P-400</t>
        </is>
      </c>
      <c r="AE220" t="n">
        <v>1</v>
      </c>
    </row>
    <row r="221">
      <c r="A221" t="n">
        <v>220</v>
      </c>
      <c r="B221" t="inlineStr">
        <is>
          <t>OP-000220</t>
        </is>
      </c>
      <c r="C221" s="12" t="n">
        <v>46123</v>
      </c>
      <c r="D221" s="13" t="n">
        <v>0.4722222222222222</v>
      </c>
      <c r="E221" t="inlineStr">
        <is>
          <t>C-0011</t>
        </is>
      </c>
      <c r="F221" t="inlineStr">
        <is>
          <t>Cliente 11</t>
        </is>
      </c>
      <c r="G221" t="inlineStr">
        <is>
          <t>P-500</t>
        </is>
      </c>
      <c r="H221" t="inlineStr">
        <is>
          <t>Dock</t>
        </is>
      </c>
      <c r="I221" t="inlineStr">
        <is>
          <t>Tecnologia</t>
        </is>
      </c>
      <c r="J221" t="inlineStr">
        <is>
          <t>Pacifico</t>
        </is>
      </c>
      <c r="K221" t="inlineStr">
        <is>
          <t>SUC-05</t>
        </is>
      </c>
      <c r="L221" t="inlineStr">
        <is>
          <t>Tienda</t>
        </is>
      </c>
      <c r="M221" t="inlineStr">
        <is>
          <t>Aprobado</t>
        </is>
      </c>
      <c r="N221" t="inlineStr">
        <is>
          <t>Critica</t>
        </is>
      </c>
      <c r="O221" t="n">
        <v>3</v>
      </c>
      <c r="P221" s="14" t="n">
        <v>6640</v>
      </c>
      <c r="Q221" s="15" t="n">
        <v>0</v>
      </c>
      <c r="R221" s="14" t="n">
        <v>3917.6</v>
      </c>
      <c r="S221" s="12" t="n">
        <v>46130</v>
      </c>
      <c r="T221" s="12" t="n">
        <v>46136</v>
      </c>
      <c r="U221" t="inlineStr">
        <is>
          <t>Resp 5</t>
        </is>
      </c>
      <c r="V221" t="inlineStr">
        <is>
          <t>archivo_05.csv</t>
        </is>
      </c>
      <c r="W221" s="14" t="n">
        <v>19920</v>
      </c>
      <c r="X221" s="14" t="n">
        <v>0</v>
      </c>
      <c r="Y221" s="14" t="n">
        <v>19920</v>
      </c>
      <c r="Z221" s="14" t="n">
        <v>11752.8</v>
      </c>
      <c r="AA221" s="14" t="n">
        <v>8167.200000000001</v>
      </c>
      <c r="AB221" s="15" t="n">
        <v>0.41</v>
      </c>
      <c r="AC221" t="n">
        <v>13</v>
      </c>
      <c r="AD221" t="inlineStr">
        <is>
          <t>PACIFICO|OP-000220|20260411|P-500</t>
        </is>
      </c>
      <c r="AE221" t="n">
        <v>1</v>
      </c>
    </row>
    <row r="222">
      <c r="A222" t="n">
        <v>221</v>
      </c>
      <c r="B222" t="inlineStr">
        <is>
          <t>OP-000221</t>
        </is>
      </c>
      <c r="C222" s="12" t="n">
        <v>46130</v>
      </c>
      <c r="D222" s="13" t="n">
        <v>0.5173611111111112</v>
      </c>
      <c r="E222" t="inlineStr">
        <is>
          <t>C-0012</t>
        </is>
      </c>
      <c r="F222" t="inlineStr">
        <is>
          <t>Cliente 12</t>
        </is>
      </c>
      <c r="G222" t="inlineStr">
        <is>
          <t>P-100</t>
        </is>
      </c>
      <c r="H222" t="inlineStr">
        <is>
          <t>Monitor 24</t>
        </is>
      </c>
      <c r="I222" t="inlineStr">
        <is>
          <t>Tecnologia</t>
        </is>
      </c>
      <c r="J222" t="inlineStr">
        <is>
          <t>Norte</t>
        </is>
      </c>
      <c r="K222" t="inlineStr">
        <is>
          <t>SUC-06</t>
        </is>
      </c>
      <c r="L222" t="inlineStr">
        <is>
          <t>Distribuidor</t>
        </is>
      </c>
      <c r="M222" t="inlineStr">
        <is>
          <t>Pendiente</t>
        </is>
      </c>
      <c r="N222" t="inlineStr">
        <is>
          <t>Alta</t>
        </is>
      </c>
      <c r="O222" t="n">
        <v>6</v>
      </c>
      <c r="P222" s="14" t="n">
        <v>6777</v>
      </c>
      <c r="Q222" s="15" t="n">
        <v>0.05</v>
      </c>
      <c r="R222" s="14" t="n">
        <v>4066.2</v>
      </c>
      <c r="S222" s="12" t="n">
        <v>46138</v>
      </c>
      <c r="T222" s="12" t="n">
        <v>46144</v>
      </c>
      <c r="U222" t="inlineStr">
        <is>
          <t>Resp 6</t>
        </is>
      </c>
      <c r="V222" t="inlineStr">
        <is>
          <t>archivo_06.csv</t>
        </is>
      </c>
      <c r="W222" s="14" t="n">
        <v>40662</v>
      </c>
      <c r="X222" s="14" t="n">
        <v>2033.1</v>
      </c>
      <c r="Y222" s="14" t="n">
        <v>38628.9</v>
      </c>
      <c r="Z222" s="14" t="n">
        <v>24397.2</v>
      </c>
      <c r="AA222" s="14" t="n">
        <v>14231.7</v>
      </c>
      <c r="AB222" s="15" t="n">
        <v>0.368421052631579</v>
      </c>
      <c r="AC222" t="n">
        <v>14</v>
      </c>
      <c r="AD222" t="inlineStr">
        <is>
          <t>NORTE|OP-000221|20260418|P-100</t>
        </is>
      </c>
      <c r="AE222" t="n">
        <v>1</v>
      </c>
    </row>
    <row r="223">
      <c r="A223" t="n">
        <v>222</v>
      </c>
      <c r="B223" t="inlineStr">
        <is>
          <t>OP-000222</t>
        </is>
      </c>
      <c r="C223" s="12" t="n">
        <v>46137</v>
      </c>
      <c r="D223" s="13" t="n">
        <v>0.5625</v>
      </c>
      <c r="E223" t="inlineStr">
        <is>
          <t>C-0013</t>
        </is>
      </c>
      <c r="F223" t="inlineStr">
        <is>
          <t>Cliente 13</t>
        </is>
      </c>
      <c r="G223" t="inlineStr">
        <is>
          <t>P-200</t>
        </is>
      </c>
      <c r="H223" t="inlineStr">
        <is>
          <t>Teclado</t>
        </is>
      </c>
      <c r="I223" t="inlineStr">
        <is>
          <t>Tecnologia</t>
        </is>
      </c>
      <c r="J223" t="inlineStr">
        <is>
          <t>Centro</t>
        </is>
      </c>
      <c r="K223" t="inlineStr">
        <is>
          <t>SUC-07</t>
        </is>
      </c>
      <c r="L223" t="inlineStr">
        <is>
          <t>Digital</t>
        </is>
      </c>
      <c r="M223" t="inlineStr">
        <is>
          <t>Cancelado</t>
        </is>
      </c>
      <c r="N223" t="inlineStr">
        <is>
          <t>Media</t>
        </is>
      </c>
      <c r="O223" t="n">
        <v>9</v>
      </c>
      <c r="P223" s="14" t="n">
        <v>6914</v>
      </c>
      <c r="Q223" s="15" t="n">
        <v>0.1</v>
      </c>
      <c r="R223" s="14" t="n">
        <v>4217.54</v>
      </c>
      <c r="S223" s="12" t="n">
        <v>46146</v>
      </c>
      <c r="T223" s="12" t="n">
        <v>46152</v>
      </c>
      <c r="U223" t="inlineStr">
        <is>
          <t>Resp 7</t>
        </is>
      </c>
      <c r="V223" t="inlineStr">
        <is>
          <t>archivo_01.csv</t>
        </is>
      </c>
      <c r="W223" s="14" t="n">
        <v>62226</v>
      </c>
      <c r="X223" s="14" t="n">
        <v>6222.6</v>
      </c>
      <c r="Y223" s="14" t="n">
        <v>56003.4</v>
      </c>
      <c r="Z223" s="14" t="n">
        <v>37957.86</v>
      </c>
      <c r="AA223" s="14" t="n">
        <v>18045.54</v>
      </c>
      <c r="AB223" s="15" t="n">
        <v>0.3222222222222222</v>
      </c>
      <c r="AC223" t="n">
        <v>15</v>
      </c>
      <c r="AD223" t="inlineStr">
        <is>
          <t>CENTRO|OP-000222|20260425|P-200</t>
        </is>
      </c>
      <c r="AE223" t="n">
        <v>1</v>
      </c>
    </row>
    <row r="224">
      <c r="A224" t="n">
        <v>223</v>
      </c>
      <c r="B224" t="inlineStr">
        <is>
          <t>OP-000223</t>
        </is>
      </c>
      <c r="C224" s="12" t="n">
        <v>46144</v>
      </c>
      <c r="D224" s="13" t="n">
        <v>0.6076388888888888</v>
      </c>
      <c r="E224" t="inlineStr">
        <is>
          <t>C-0014</t>
        </is>
      </c>
      <c r="F224" t="inlineStr">
        <is>
          <t>Cliente 14</t>
        </is>
      </c>
      <c r="G224" t="inlineStr">
        <is>
          <t>P-300</t>
        </is>
      </c>
      <c r="H224" t="inlineStr">
        <is>
          <t>Mouse</t>
        </is>
      </c>
      <c r="I224" t="inlineStr">
        <is>
          <t>Tecnologia</t>
        </is>
      </c>
      <c r="J224" t="inlineStr">
        <is>
          <t>Sur</t>
        </is>
      </c>
      <c r="K224" t="inlineStr">
        <is>
          <t>SUC-08</t>
        </is>
      </c>
      <c r="L224" t="inlineStr">
        <is>
          <t>Tienda</t>
        </is>
      </c>
      <c r="M224" t="inlineStr">
        <is>
          <t>En revision</t>
        </is>
      </c>
      <c r="N224" t="inlineStr">
        <is>
          <t>Baja</t>
        </is>
      </c>
      <c r="O224" t="n">
        <v>12</v>
      </c>
      <c r="P224" s="14" t="n">
        <v>7051</v>
      </c>
      <c r="Q224" s="15" t="n">
        <v>0.15</v>
      </c>
      <c r="R224" s="14" t="n">
        <v>4371.62</v>
      </c>
      <c r="S224" s="12" t="n">
        <v>46154</v>
      </c>
      <c r="T224" s="12" t="n">
        <v>46160</v>
      </c>
      <c r="U224" t="inlineStr">
        <is>
          <t>Resp 8</t>
        </is>
      </c>
      <c r="V224" t="inlineStr">
        <is>
          <t>archivo_02.csv</t>
        </is>
      </c>
      <c r="W224" s="14" t="n">
        <v>84612</v>
      </c>
      <c r="X224" s="14" t="n">
        <v>12691.8</v>
      </c>
      <c r="Y224" s="14" t="n">
        <v>71920.2</v>
      </c>
      <c r="Z224" s="14" t="n">
        <v>52459.44</v>
      </c>
      <c r="AA224" s="14" t="n">
        <v>19460.75999999999</v>
      </c>
      <c r="AB224" s="15" t="n">
        <v>0.2705882352941176</v>
      </c>
      <c r="AC224" t="n">
        <v>16</v>
      </c>
      <c r="AD224" t="inlineStr">
        <is>
          <t>SUR|OP-000223|20260502|P-300</t>
        </is>
      </c>
      <c r="AE224" t="n">
        <v>1</v>
      </c>
    </row>
    <row r="225">
      <c r="A225" t="n">
        <v>224</v>
      </c>
      <c r="B225" t="inlineStr">
        <is>
          <t>OP-000224</t>
        </is>
      </c>
      <c r="C225" s="12" t="n">
        <v>46151</v>
      </c>
      <c r="D225" s="13" t="n">
        <v>0.6527777777777778</v>
      </c>
      <c r="E225" t="inlineStr">
        <is>
          <t>C-0015</t>
        </is>
      </c>
      <c r="F225" t="inlineStr">
        <is>
          <t>Cliente 15</t>
        </is>
      </c>
      <c r="G225" t="inlineStr">
        <is>
          <t>P-400</t>
        </is>
      </c>
      <c r="H225" t="inlineStr">
        <is>
          <t>Laptop</t>
        </is>
      </c>
      <c r="I225" t="inlineStr">
        <is>
          <t>Tecnologia</t>
        </is>
      </c>
      <c r="J225" t="inlineStr">
        <is>
          <t>Pacifico</t>
        </is>
      </c>
      <c r="K225" t="inlineStr">
        <is>
          <t>SUC-01</t>
        </is>
      </c>
      <c r="L225" t="inlineStr">
        <is>
          <t>Distribuidor</t>
        </is>
      </c>
      <c r="M225" t="inlineStr">
        <is>
          <t>Aprobado</t>
        </is>
      </c>
      <c r="N225" t="inlineStr">
        <is>
          <t>Critica</t>
        </is>
      </c>
      <c r="O225" t="n">
        <v>15</v>
      </c>
      <c r="P225" s="14" t="n">
        <v>7188</v>
      </c>
      <c r="Q225" s="15" t="n">
        <v>0</v>
      </c>
      <c r="R225" s="14" t="n">
        <v>3953.4</v>
      </c>
      <c r="S225" s="12" t="n">
        <v>46162</v>
      </c>
      <c r="T225" s="12" t="n">
        <v>46168</v>
      </c>
      <c r="U225" t="inlineStr">
        <is>
          <t>Resp 9</t>
        </is>
      </c>
      <c r="V225" t="inlineStr">
        <is>
          <t>archivo_03.csv</t>
        </is>
      </c>
      <c r="W225" s="14" t="n">
        <v>107820</v>
      </c>
      <c r="X225" s="14" t="n">
        <v>0</v>
      </c>
      <c r="Y225" s="14" t="n">
        <v>107820</v>
      </c>
      <c r="Z225" s="14" t="n">
        <v>59301</v>
      </c>
      <c r="AA225" s="14" t="n">
        <v>48519</v>
      </c>
      <c r="AB225" s="15" t="n">
        <v>0.45</v>
      </c>
      <c r="AC225" t="n">
        <v>17</v>
      </c>
      <c r="AD225" t="inlineStr">
        <is>
          <t>PACIFICO|OP-000224|20260509|P-400</t>
        </is>
      </c>
      <c r="AE225" t="n">
        <v>1</v>
      </c>
    </row>
    <row r="226">
      <c r="A226" t="n">
        <v>225</v>
      </c>
      <c r="B226" t="inlineStr">
        <is>
          <t>OP-000225</t>
        </is>
      </c>
      <c r="C226" s="12" t="n">
        <v>46158</v>
      </c>
      <c r="D226" s="13" t="n">
        <v>0.6979166666666666</v>
      </c>
      <c r="E226" t="inlineStr">
        <is>
          <t>C-0016</t>
        </is>
      </c>
      <c r="F226" t="inlineStr">
        <is>
          <t>Cliente 16</t>
        </is>
      </c>
      <c r="G226" t="inlineStr">
        <is>
          <t>P-500</t>
        </is>
      </c>
      <c r="H226" t="inlineStr">
        <is>
          <t>Dock</t>
        </is>
      </c>
      <c r="I226" t="inlineStr">
        <is>
          <t>Tecnologia</t>
        </is>
      </c>
      <c r="J226" t="inlineStr">
        <is>
          <t>Norte</t>
        </is>
      </c>
      <c r="K226" t="inlineStr">
        <is>
          <t>SUC-02</t>
        </is>
      </c>
      <c r="L226" t="inlineStr">
        <is>
          <t>Digital</t>
        </is>
      </c>
      <c r="M226" t="inlineStr">
        <is>
          <t>Pendiente</t>
        </is>
      </c>
      <c r="N226" t="inlineStr">
        <is>
          <t>Alta</t>
        </is>
      </c>
      <c r="O226" t="n">
        <v>18</v>
      </c>
      <c r="P226" s="14" t="n">
        <v>7325</v>
      </c>
      <c r="Q226" s="15" t="n">
        <v>0.05</v>
      </c>
      <c r="R226" s="14" t="n">
        <v>4102</v>
      </c>
      <c r="S226" s="12" t="n">
        <v>46170</v>
      </c>
      <c r="T226" s="12" t="n">
        <v>46161</v>
      </c>
      <c r="U226" t="inlineStr">
        <is>
          <t>Resp 10</t>
        </is>
      </c>
      <c r="V226" t="inlineStr">
        <is>
          <t>archivo_04.csv</t>
        </is>
      </c>
      <c r="W226" s="14" t="n">
        <v>131850</v>
      </c>
      <c r="X226" s="14" t="n">
        <v>6592.5</v>
      </c>
      <c r="Y226" s="14" t="n">
        <v>125257.5</v>
      </c>
      <c r="Z226" s="14" t="n">
        <v>73836</v>
      </c>
      <c r="AA226" s="14" t="n">
        <v>51421.5</v>
      </c>
      <c r="AB226" s="15" t="n">
        <v>0.4105263157894737</v>
      </c>
      <c r="AC226" t="n">
        <v>3</v>
      </c>
      <c r="AD226" t="inlineStr">
        <is>
          <t>NORTE|OP-000225|20260516|P-500</t>
        </is>
      </c>
      <c r="AE226" t="n">
        <v>1</v>
      </c>
    </row>
    <row r="227">
      <c r="A227" t="n">
        <v>226</v>
      </c>
      <c r="B227" t="inlineStr">
        <is>
          <t>OP-000226</t>
        </is>
      </c>
      <c r="C227" s="12" t="n">
        <v>46165</v>
      </c>
      <c r="D227" s="13" t="n">
        <v>0.7430555555555556</v>
      </c>
      <c r="E227" t="inlineStr">
        <is>
          <t>C-0017</t>
        </is>
      </c>
      <c r="F227" t="inlineStr">
        <is>
          <t>Cliente 17</t>
        </is>
      </c>
      <c r="G227" t="inlineStr">
        <is>
          <t>P-100</t>
        </is>
      </c>
      <c r="H227" t="inlineStr">
        <is>
          <t>Monitor 24</t>
        </is>
      </c>
      <c r="I227" t="inlineStr">
        <is>
          <t>Tecnologia</t>
        </is>
      </c>
      <c r="J227" t="inlineStr">
        <is>
          <t>Centro</t>
        </is>
      </c>
      <c r="K227" t="inlineStr">
        <is>
          <t>SUC-03</t>
        </is>
      </c>
      <c r="L227" t="inlineStr">
        <is>
          <t>Tienda</t>
        </is>
      </c>
      <c r="M227" t="inlineStr">
        <is>
          <t>Cancelado</t>
        </is>
      </c>
      <c r="N227" t="inlineStr">
        <is>
          <t>Media</t>
        </is>
      </c>
      <c r="O227" t="n">
        <v>21</v>
      </c>
      <c r="P227" s="14" t="n">
        <v>7462</v>
      </c>
      <c r="Q227" s="15" t="n">
        <v>0.1</v>
      </c>
      <c r="R227" s="14" t="n">
        <v>4253.34</v>
      </c>
      <c r="S227" s="12" t="n">
        <v>46178</v>
      </c>
      <c r="T227" s="12" t="n">
        <v>46169</v>
      </c>
      <c r="U227" t="inlineStr">
        <is>
          <t>Resp 11</t>
        </is>
      </c>
      <c r="V227" t="inlineStr">
        <is>
          <t>archivo_05.csv</t>
        </is>
      </c>
      <c r="W227" s="14" t="n">
        <v>156702</v>
      </c>
      <c r="X227" s="14" t="n">
        <v>15670.2</v>
      </c>
      <c r="Y227" s="14" t="n">
        <v>141031.8</v>
      </c>
      <c r="Z227" s="14" t="n">
        <v>89320.14</v>
      </c>
      <c r="AA227" s="14" t="n">
        <v>51711.65999999999</v>
      </c>
      <c r="AB227" s="15" t="n">
        <v>0.3666666666666666</v>
      </c>
      <c r="AC227" t="n">
        <v>4</v>
      </c>
      <c r="AD227" t="inlineStr">
        <is>
          <t>CENTRO|OP-000226|20260523|P-100</t>
        </is>
      </c>
      <c r="AE227" t="n">
        <v>1</v>
      </c>
    </row>
    <row r="228">
      <c r="A228" t="n">
        <v>227</v>
      </c>
      <c r="B228" t="inlineStr">
        <is>
          <t>OP-000227</t>
        </is>
      </c>
      <c r="C228" s="12" t="n">
        <v>46172</v>
      </c>
      <c r="D228" s="13" t="n">
        <v>0.7881944444444444</v>
      </c>
      <c r="E228" t="inlineStr">
        <is>
          <t>C-0018</t>
        </is>
      </c>
      <c r="F228" t="inlineStr">
        <is>
          <t>Cliente 18</t>
        </is>
      </c>
      <c r="G228" t="inlineStr">
        <is>
          <t>P-200</t>
        </is>
      </c>
      <c r="H228" t="inlineStr">
        <is>
          <t>Teclado</t>
        </is>
      </c>
      <c r="I228" t="inlineStr">
        <is>
          <t>Tecnologia</t>
        </is>
      </c>
      <c r="J228" t="inlineStr">
        <is>
          <t>Sur</t>
        </is>
      </c>
      <c r="K228" t="inlineStr">
        <is>
          <t>SUC-04</t>
        </is>
      </c>
      <c r="L228" t="inlineStr">
        <is>
          <t>Distribuidor</t>
        </is>
      </c>
      <c r="M228" t="inlineStr">
        <is>
          <t>En revision</t>
        </is>
      </c>
      <c r="N228" t="inlineStr">
        <is>
          <t>Baja</t>
        </is>
      </c>
      <c r="O228" t="n">
        <v>24</v>
      </c>
      <c r="P228" s="14" t="n">
        <v>7599</v>
      </c>
      <c r="Q228" s="15" t="n">
        <v>0.15</v>
      </c>
      <c r="R228" s="14" t="n">
        <v>4407.42</v>
      </c>
      <c r="S228" s="12" t="n">
        <v>46186</v>
      </c>
      <c r="T228" s="12" t="n">
        <v>46177</v>
      </c>
      <c r="U228" t="inlineStr">
        <is>
          <t>Resp 12</t>
        </is>
      </c>
      <c r="V228" t="inlineStr">
        <is>
          <t>archivo_06.csv</t>
        </is>
      </c>
      <c r="W228" s="14" t="n">
        <v>182376</v>
      </c>
      <c r="X228" s="14" t="n">
        <v>27356.4</v>
      </c>
      <c r="Y228" s="14" t="n">
        <v>155019.6</v>
      </c>
      <c r="Z228" s="14" t="n">
        <v>105778.08</v>
      </c>
      <c r="AA228" s="14" t="n">
        <v>49241.52</v>
      </c>
      <c r="AB228" s="15" t="n">
        <v>0.3176470588235294</v>
      </c>
      <c r="AC228" t="n">
        <v>5</v>
      </c>
      <c r="AD228" t="inlineStr">
        <is>
          <t>SUR|OP-000227|20260530|P-200</t>
        </is>
      </c>
      <c r="AE228" t="n">
        <v>1</v>
      </c>
    </row>
    <row r="229">
      <c r="A229" t="n">
        <v>228</v>
      </c>
      <c r="B229" t="inlineStr">
        <is>
          <t>OP-000228</t>
        </is>
      </c>
      <c r="C229" s="12" t="n">
        <v>46179</v>
      </c>
      <c r="D229" s="13" t="n">
        <v>0.2916666666666667</v>
      </c>
      <c r="E229" t="inlineStr">
        <is>
          <t>C-0019</t>
        </is>
      </c>
      <c r="F229" t="inlineStr">
        <is>
          <t>Cliente 19</t>
        </is>
      </c>
      <c r="G229" t="inlineStr">
        <is>
          <t>P-300</t>
        </is>
      </c>
      <c r="H229" t="inlineStr">
        <is>
          <t>Mouse</t>
        </is>
      </c>
      <c r="I229" t="inlineStr">
        <is>
          <t>Tecnologia</t>
        </is>
      </c>
      <c r="J229" t="inlineStr">
        <is>
          <t>Pacifico</t>
        </is>
      </c>
      <c r="K229" t="inlineStr">
        <is>
          <t>SUC-05</t>
        </is>
      </c>
      <c r="L229" t="inlineStr">
        <is>
          <t>Digital</t>
        </is>
      </c>
      <c r="M229" t="inlineStr">
        <is>
          <t>Aprobado</t>
        </is>
      </c>
      <c r="N229" t="inlineStr">
        <is>
          <t>Critica</t>
        </is>
      </c>
      <c r="O229" t="n">
        <v>27</v>
      </c>
      <c r="P229" s="14" t="n">
        <v>7736</v>
      </c>
      <c r="Q229" s="15" t="n">
        <v>0</v>
      </c>
      <c r="R229" s="14" t="n">
        <v>4564.24</v>
      </c>
      <c r="S229" s="12" t="n">
        <v>46194</v>
      </c>
      <c r="T229" s="12" t="n">
        <v>46185</v>
      </c>
      <c r="U229" t="inlineStr">
        <is>
          <t>Resp 1</t>
        </is>
      </c>
      <c r="V229" t="inlineStr">
        <is>
          <t>archivo_01.csv</t>
        </is>
      </c>
      <c r="W229" s="14" t="n">
        <v>208872</v>
      </c>
      <c r="X229" s="14" t="n">
        <v>0</v>
      </c>
      <c r="Y229" s="14" t="n">
        <v>208872</v>
      </c>
      <c r="Z229" s="14" t="n">
        <v>123234.48</v>
      </c>
      <c r="AA229" s="14" t="n">
        <v>85637.52</v>
      </c>
      <c r="AB229" s="15" t="n">
        <v>0.41</v>
      </c>
      <c r="AC229" t="n">
        <v>6</v>
      </c>
      <c r="AD229" t="inlineStr">
        <is>
          <t>PACIFICO|OP-000228|20260606|P-300</t>
        </is>
      </c>
      <c r="AE229" t="n">
        <v>1</v>
      </c>
    </row>
    <row r="230">
      <c r="A230" t="n">
        <v>229</v>
      </c>
      <c r="B230" t="inlineStr">
        <is>
          <t>OP-000229</t>
        </is>
      </c>
      <c r="C230" s="12" t="n">
        <v>46186</v>
      </c>
      <c r="D230" s="13" t="n">
        <v>0.3368055555555556</v>
      </c>
      <c r="E230" t="inlineStr">
        <is>
          <t>C-0020</t>
        </is>
      </c>
      <c r="F230" t="inlineStr">
        <is>
          <t>Cliente 20</t>
        </is>
      </c>
      <c r="G230" t="inlineStr">
        <is>
          <t>P-400</t>
        </is>
      </c>
      <c r="H230" t="inlineStr">
        <is>
          <t>Laptop</t>
        </is>
      </c>
      <c r="I230" t="inlineStr">
        <is>
          <t>Tecnologia</t>
        </is>
      </c>
      <c r="J230" t="inlineStr">
        <is>
          <t>Norte</t>
        </is>
      </c>
      <c r="K230" t="inlineStr">
        <is>
          <t>SUC-06</t>
        </is>
      </c>
      <c r="L230" t="inlineStr">
        <is>
          <t>Tienda</t>
        </is>
      </c>
      <c r="M230" t="inlineStr">
        <is>
          <t>Pendiente</t>
        </is>
      </c>
      <c r="N230" t="inlineStr">
        <is>
          <t>Alta</t>
        </is>
      </c>
      <c r="O230" t="n">
        <v>30</v>
      </c>
      <c r="P230" s="14" t="n">
        <v>7873</v>
      </c>
      <c r="Q230" s="15" t="n">
        <v>0.05</v>
      </c>
      <c r="R230" s="14" t="n">
        <v>4723.8</v>
      </c>
      <c r="S230" s="12" t="n">
        <v>46202</v>
      </c>
      <c r="T230" s="12" t="n">
        <v>46193</v>
      </c>
      <c r="U230" t="inlineStr">
        <is>
          <t>Resp 2</t>
        </is>
      </c>
      <c r="V230" t="inlineStr">
        <is>
          <t>archivo_02.csv</t>
        </is>
      </c>
      <c r="W230" s="14" t="n">
        <v>236190</v>
      </c>
      <c r="X230" s="14" t="n">
        <v>11809.5</v>
      </c>
      <c r="Y230" s="14" t="n">
        <v>224380.5</v>
      </c>
      <c r="Z230" s="14" t="n">
        <v>141714</v>
      </c>
      <c r="AA230" s="14" t="n">
        <v>82666.5</v>
      </c>
      <c r="AB230" s="15" t="n">
        <v>0.3684210526315789</v>
      </c>
      <c r="AC230" t="n">
        <v>7</v>
      </c>
      <c r="AD230" t="inlineStr">
        <is>
          <t>NORTE|OP-000229|20260613|P-400</t>
        </is>
      </c>
      <c r="AE230" t="n">
        <v>1</v>
      </c>
    </row>
    <row r="231">
      <c r="A231" t="n">
        <v>230</v>
      </c>
      <c r="B231" t="inlineStr">
        <is>
          <t>OP-000230</t>
        </is>
      </c>
      <c r="C231" s="12" t="n">
        <v>46193</v>
      </c>
      <c r="D231" s="13" t="n">
        <v>0.3819444444444444</v>
      </c>
      <c r="E231" t="inlineStr">
        <is>
          <t>C-0021</t>
        </is>
      </c>
      <c r="F231" t="inlineStr">
        <is>
          <t>Cliente 21</t>
        </is>
      </c>
      <c r="G231" t="inlineStr">
        <is>
          <t>P-500</t>
        </is>
      </c>
      <c r="H231" t="inlineStr">
        <is>
          <t>Dock</t>
        </is>
      </c>
      <c r="I231" t="inlineStr">
        <is>
          <t>Tecnologia</t>
        </is>
      </c>
      <c r="J231" t="inlineStr">
        <is>
          <t>Centro</t>
        </is>
      </c>
      <c r="K231" t="inlineStr">
        <is>
          <t>SUC-07</t>
        </is>
      </c>
      <c r="L231" t="inlineStr">
        <is>
          <t>Distribuidor</t>
        </is>
      </c>
      <c r="M231" t="inlineStr">
        <is>
          <t>Cancelado</t>
        </is>
      </c>
      <c r="N231" t="inlineStr">
        <is>
          <t>Media</t>
        </is>
      </c>
      <c r="O231" t="n">
        <v>33</v>
      </c>
      <c r="P231" s="14" t="n">
        <v>8010</v>
      </c>
      <c r="Q231" s="15" t="n">
        <v>0.1</v>
      </c>
      <c r="R231" s="14" t="n">
        <v>4886.1</v>
      </c>
      <c r="S231" s="12" t="n">
        <v>46200</v>
      </c>
      <c r="T231" s="12" t="n">
        <v>46201</v>
      </c>
      <c r="U231" t="inlineStr">
        <is>
          <t>Resp 3</t>
        </is>
      </c>
      <c r="V231" t="inlineStr">
        <is>
          <t>archivo_03.csv</t>
        </is>
      </c>
      <c r="W231" s="14" t="n">
        <v>264330</v>
      </c>
      <c r="X231" s="14" t="n">
        <v>26433</v>
      </c>
      <c r="Y231" s="14" t="n">
        <v>237897</v>
      </c>
      <c r="Z231" s="14" t="n">
        <v>161241.3</v>
      </c>
      <c r="AA231" s="14" t="n">
        <v>76655.69999999998</v>
      </c>
      <c r="AB231" s="15" t="n">
        <v>0.3222222222222221</v>
      </c>
      <c r="AC231" t="n">
        <v>8</v>
      </c>
      <c r="AD231" t="inlineStr">
        <is>
          <t>CENTRO|OP-000230|20260620|P-500</t>
        </is>
      </c>
      <c r="AE231" t="n">
        <v>1</v>
      </c>
    </row>
    <row r="232">
      <c r="A232" t="n">
        <v>231</v>
      </c>
      <c r="B232" t="inlineStr">
        <is>
          <t>OP-000231</t>
        </is>
      </c>
      <c r="C232" s="12" t="n">
        <v>46200</v>
      </c>
      <c r="D232" s="13" t="n">
        <v>0.4270833333333333</v>
      </c>
      <c r="E232" t="inlineStr">
        <is>
          <t>C-0022</t>
        </is>
      </c>
      <c r="F232" t="inlineStr">
        <is>
          <t>Cliente 22</t>
        </is>
      </c>
      <c r="G232" t="inlineStr">
        <is>
          <t>P-100</t>
        </is>
      </c>
      <c r="H232" t="inlineStr">
        <is>
          <t>Monitor 24</t>
        </is>
      </c>
      <c r="I232" t="inlineStr">
        <is>
          <t>Tecnologia</t>
        </is>
      </c>
      <c r="J232" t="inlineStr">
        <is>
          <t>Sur</t>
        </is>
      </c>
      <c r="K232" t="inlineStr">
        <is>
          <t>SUC-08</t>
        </is>
      </c>
      <c r="L232" t="inlineStr">
        <is>
          <t>Digital</t>
        </is>
      </c>
      <c r="M232" t="inlineStr">
        <is>
          <t>En revision</t>
        </is>
      </c>
      <c r="N232" t="inlineStr">
        <is>
          <t>Baja</t>
        </is>
      </c>
      <c r="O232" t="n">
        <v>36</v>
      </c>
      <c r="P232" s="14" t="n">
        <v>8147</v>
      </c>
      <c r="Q232" s="15" t="n">
        <v>0.15</v>
      </c>
      <c r="R232" s="14" t="n">
        <v>5051.14</v>
      </c>
      <c r="S232" s="12" t="n">
        <v>46208</v>
      </c>
      <c r="T232" s="12" t="n">
        <v>46209</v>
      </c>
      <c r="U232" t="inlineStr">
        <is>
          <t>Resp 4</t>
        </is>
      </c>
      <c r="V232" t="inlineStr">
        <is>
          <t>archivo_04.csv</t>
        </is>
      </c>
      <c r="W232" s="14" t="n">
        <v>293292</v>
      </c>
      <c r="X232" s="14" t="n">
        <v>43993.8</v>
      </c>
      <c r="Y232" s="14" t="n">
        <v>249298.2</v>
      </c>
      <c r="Z232" s="14" t="n">
        <v>181841.04</v>
      </c>
      <c r="AA232" s="14" t="n">
        <v>67457.16</v>
      </c>
      <c r="AB232" s="15" t="n">
        <v>0.2705882352941176</v>
      </c>
      <c r="AC232" t="n">
        <v>9</v>
      </c>
      <c r="AD232" t="inlineStr">
        <is>
          <t>SUR|OP-000231|20260627|P-100</t>
        </is>
      </c>
      <c r="AE232" t="n">
        <v>1</v>
      </c>
    </row>
    <row r="233">
      <c r="A233" t="n">
        <v>232</v>
      </c>
      <c r="B233" t="inlineStr">
        <is>
          <t>OP-000232</t>
        </is>
      </c>
      <c r="C233" s="12" t="n">
        <v>46207</v>
      </c>
      <c r="D233" s="13" t="n">
        <v>0.4722222222222222</v>
      </c>
      <c r="E233" t="inlineStr">
        <is>
          <t>C-0023</t>
        </is>
      </c>
      <c r="F233" t="inlineStr">
        <is>
          <t>Cliente 23</t>
        </is>
      </c>
      <c r="G233" t="inlineStr">
        <is>
          <t>P-200</t>
        </is>
      </c>
      <c r="H233" t="inlineStr">
        <is>
          <t>Teclado</t>
        </is>
      </c>
      <c r="I233" t="inlineStr">
        <is>
          <t>Tecnologia</t>
        </is>
      </c>
      <c r="J233" t="inlineStr">
        <is>
          <t>Pacifico</t>
        </is>
      </c>
      <c r="K233" t="inlineStr">
        <is>
          <t>SUC-01</t>
        </is>
      </c>
      <c r="L233" t="inlineStr">
        <is>
          <t>Tienda</t>
        </is>
      </c>
      <c r="M233" t="inlineStr">
        <is>
          <t>Aprobado</t>
        </is>
      </c>
      <c r="N233" t="inlineStr">
        <is>
          <t>Critica</t>
        </is>
      </c>
      <c r="O233" t="n">
        <v>39</v>
      </c>
      <c r="P233" s="14" t="n">
        <v>8284</v>
      </c>
      <c r="Q233" s="15" t="n">
        <v>0</v>
      </c>
      <c r="R233" s="14" t="n">
        <v>4556.2</v>
      </c>
      <c r="S233" s="12" t="n">
        <v>46216</v>
      </c>
      <c r="T233" s="12" t="n">
        <v>46217</v>
      </c>
      <c r="U233" t="inlineStr">
        <is>
          <t>Resp 5</t>
        </is>
      </c>
      <c r="V233" t="inlineStr">
        <is>
          <t>archivo_05.csv</t>
        </is>
      </c>
      <c r="W233" s="14" t="n">
        <v>323076</v>
      </c>
      <c r="X233" s="14" t="n">
        <v>0</v>
      </c>
      <c r="Y233" s="14" t="n">
        <v>323076</v>
      </c>
      <c r="Z233" s="14" t="n">
        <v>177691.8</v>
      </c>
      <c r="AA233" s="14" t="n">
        <v>145384.2</v>
      </c>
      <c r="AB233" s="15" t="n">
        <v>0.45</v>
      </c>
      <c r="AC233" t="n">
        <v>10</v>
      </c>
      <c r="AD233" t="inlineStr">
        <is>
          <t>PACIFICO|OP-000232|20260704|P-200</t>
        </is>
      </c>
      <c r="AE233" t="n">
        <v>1</v>
      </c>
    </row>
    <row r="234">
      <c r="A234" t="n">
        <v>233</v>
      </c>
      <c r="B234" t="inlineStr">
        <is>
          <t>OP-000233</t>
        </is>
      </c>
      <c r="C234" s="12" t="n">
        <v>46214</v>
      </c>
      <c r="D234" s="13" t="n">
        <v>0.5173611111111112</v>
      </c>
      <c r="E234" t="inlineStr">
        <is>
          <t>C-0024</t>
        </is>
      </c>
      <c r="F234" t="inlineStr">
        <is>
          <t>Cliente 24</t>
        </is>
      </c>
      <c r="G234" t="inlineStr">
        <is>
          <t>P-300</t>
        </is>
      </c>
      <c r="H234" t="inlineStr">
        <is>
          <t>Mouse</t>
        </is>
      </c>
      <c r="I234" t="inlineStr">
        <is>
          <t>Tecnologia</t>
        </is>
      </c>
      <c r="J234" t="inlineStr">
        <is>
          <t>Norte</t>
        </is>
      </c>
      <c r="K234" t="inlineStr">
        <is>
          <t>SUC-02</t>
        </is>
      </c>
      <c r="L234" t="inlineStr">
        <is>
          <t>Distribuidor</t>
        </is>
      </c>
      <c r="M234" t="inlineStr">
        <is>
          <t>Pendiente</t>
        </is>
      </c>
      <c r="N234" t="inlineStr">
        <is>
          <t>Alta</t>
        </is>
      </c>
      <c r="O234" t="n">
        <v>42</v>
      </c>
      <c r="P234" s="14" t="n">
        <v>8421</v>
      </c>
      <c r="Q234" s="15" t="n">
        <v>0.05</v>
      </c>
      <c r="R234" s="14" t="n">
        <v>4715.76</v>
      </c>
      <c r="S234" s="12" t="n">
        <v>46224</v>
      </c>
      <c r="T234" s="12" t="n">
        <v>46225</v>
      </c>
      <c r="U234" t="inlineStr">
        <is>
          <t>Resp 6</t>
        </is>
      </c>
      <c r="V234" t="inlineStr">
        <is>
          <t>archivo_06.csv</t>
        </is>
      </c>
      <c r="W234" s="14" t="n">
        <v>353682</v>
      </c>
      <c r="X234" s="14" t="n">
        <v>17684.1</v>
      </c>
      <c r="Y234" s="14" t="n">
        <v>335997.9</v>
      </c>
      <c r="Z234" s="14" t="n">
        <v>198061.92</v>
      </c>
      <c r="AA234" s="14" t="n">
        <v>137935.98</v>
      </c>
      <c r="AB234" s="15" t="n">
        <v>0.4105263157894737</v>
      </c>
      <c r="AC234" t="n">
        <v>11</v>
      </c>
      <c r="AD234" t="inlineStr">
        <is>
          <t>NORTE|OP-000233|20260711|P-300</t>
        </is>
      </c>
      <c r="AE234" t="n">
        <v>1</v>
      </c>
    </row>
    <row r="235">
      <c r="A235" t="n">
        <v>234</v>
      </c>
      <c r="B235" t="inlineStr">
        <is>
          <t>OP-000234</t>
        </is>
      </c>
      <c r="C235" s="12" t="n">
        <v>46221</v>
      </c>
      <c r="D235" s="13" t="n">
        <v>0.5625</v>
      </c>
      <c r="E235" t="inlineStr">
        <is>
          <t>C-0025</t>
        </is>
      </c>
      <c r="F235" t="inlineStr">
        <is>
          <t>Cliente 25</t>
        </is>
      </c>
      <c r="G235" t="inlineStr">
        <is>
          <t>P-400</t>
        </is>
      </c>
      <c r="H235" t="inlineStr">
        <is>
          <t>Laptop</t>
        </is>
      </c>
      <c r="I235" t="inlineStr">
        <is>
          <t>Tecnologia</t>
        </is>
      </c>
      <c r="J235" t="inlineStr">
        <is>
          <t>Centro</t>
        </is>
      </c>
      <c r="K235" t="inlineStr">
        <is>
          <t>SUC-03</t>
        </is>
      </c>
      <c r="L235" t="inlineStr">
        <is>
          <t>Digital</t>
        </is>
      </c>
      <c r="M235" t="inlineStr">
        <is>
          <t>Cancelado</t>
        </is>
      </c>
      <c r="N235" t="inlineStr">
        <is>
          <t>Media</t>
        </is>
      </c>
      <c r="O235" t="n">
        <v>45</v>
      </c>
      <c r="P235" s="14" t="n">
        <v>8558</v>
      </c>
      <c r="Q235" s="15" t="n">
        <v>0.1</v>
      </c>
      <c r="R235" s="14" t="n">
        <v>4878.06</v>
      </c>
      <c r="S235" s="12" t="n">
        <v>46232</v>
      </c>
      <c r="T235" s="12" t="n">
        <v>46233</v>
      </c>
      <c r="U235" t="inlineStr">
        <is>
          <t>Resp 7</t>
        </is>
      </c>
      <c r="V235" t="inlineStr">
        <is>
          <t>archivo_01.csv</t>
        </is>
      </c>
      <c r="W235" s="14" t="n">
        <v>385110</v>
      </c>
      <c r="X235" s="14" t="n">
        <v>38511</v>
      </c>
      <c r="Y235" s="14" t="n">
        <v>346599</v>
      </c>
      <c r="Z235" s="14" t="n">
        <v>219512.7</v>
      </c>
      <c r="AA235" s="14" t="n">
        <v>127086.3</v>
      </c>
      <c r="AB235" s="15" t="n">
        <v>0.3666666666666666</v>
      </c>
      <c r="AC235" t="n">
        <v>12</v>
      </c>
      <c r="AD235" t="inlineStr">
        <is>
          <t>CENTRO|OP-000234|20260718|P-400</t>
        </is>
      </c>
      <c r="AE235" t="n">
        <v>1</v>
      </c>
    </row>
    <row r="236">
      <c r="A236" t="n">
        <v>235</v>
      </c>
      <c r="B236" t="inlineStr">
        <is>
          <t>OP-000235</t>
        </is>
      </c>
      <c r="C236" s="12" t="n">
        <v>46228</v>
      </c>
      <c r="D236" s="13" t="n">
        <v>0.6076388888888888</v>
      </c>
      <c r="E236" t="inlineStr">
        <is>
          <t>C-0026</t>
        </is>
      </c>
      <c r="F236" t="inlineStr">
        <is>
          <t>Cliente 26</t>
        </is>
      </c>
      <c r="G236" t="inlineStr">
        <is>
          <t>P-500</t>
        </is>
      </c>
      <c r="H236" t="inlineStr">
        <is>
          <t>Dock</t>
        </is>
      </c>
      <c r="I236" t="inlineStr">
        <is>
          <t>Tecnologia</t>
        </is>
      </c>
      <c r="J236" t="inlineStr">
        <is>
          <t>Sur</t>
        </is>
      </c>
      <c r="K236" t="inlineStr">
        <is>
          <t>SUC-04</t>
        </is>
      </c>
      <c r="L236" t="inlineStr">
        <is>
          <t>Tienda</t>
        </is>
      </c>
      <c r="M236" t="inlineStr">
        <is>
          <t>En revision</t>
        </is>
      </c>
      <c r="N236" t="inlineStr">
        <is>
          <t>Baja</t>
        </is>
      </c>
      <c r="O236" t="n">
        <v>1</v>
      </c>
      <c r="P236" s="14" t="n">
        <v>8695</v>
      </c>
      <c r="Q236" s="15" t="n">
        <v>0.15</v>
      </c>
      <c r="R236" s="14" t="n">
        <v>5043.1</v>
      </c>
      <c r="S236" s="12" t="n">
        <v>46240</v>
      </c>
      <c r="T236" s="12" t="n">
        <v>46241</v>
      </c>
      <c r="U236" t="inlineStr">
        <is>
          <t>Resp 8</t>
        </is>
      </c>
      <c r="V236" t="inlineStr">
        <is>
          <t>archivo_02.csv</t>
        </is>
      </c>
      <c r="W236" s="14" t="n">
        <v>8695</v>
      </c>
      <c r="X236" s="14" t="n">
        <v>1304.25</v>
      </c>
      <c r="Y236" s="14" t="n">
        <v>7390.75</v>
      </c>
      <c r="Z236" s="14" t="n">
        <v>5043.1</v>
      </c>
      <c r="AA236" s="14" t="n">
        <v>2347.65</v>
      </c>
      <c r="AB236" s="15" t="n">
        <v>0.3176470588235293</v>
      </c>
      <c r="AC236" t="n">
        <v>13</v>
      </c>
      <c r="AD236" t="inlineStr">
        <is>
          <t>SUR|OP-000235|20260725|P-500</t>
        </is>
      </c>
      <c r="AE236" t="n">
        <v>1</v>
      </c>
    </row>
    <row r="237">
      <c r="A237" t="n">
        <v>236</v>
      </c>
      <c r="B237" t="inlineStr">
        <is>
          <t>OP-000236</t>
        </is>
      </c>
      <c r="C237" s="12" t="n">
        <v>46235</v>
      </c>
      <c r="D237" s="13" t="n">
        <v>0.6527777777777778</v>
      </c>
      <c r="E237" t="inlineStr">
        <is>
          <t>C-0027</t>
        </is>
      </c>
      <c r="F237" t="inlineStr">
        <is>
          <t>Cliente 27</t>
        </is>
      </c>
      <c r="G237" t="inlineStr">
        <is>
          <t>P-100</t>
        </is>
      </c>
      <c r="H237" t="inlineStr">
        <is>
          <t>Monitor 24</t>
        </is>
      </c>
      <c r="I237" t="inlineStr">
        <is>
          <t>Tecnologia</t>
        </is>
      </c>
      <c r="J237" t="inlineStr">
        <is>
          <t>Pacifico</t>
        </is>
      </c>
      <c r="K237" t="inlineStr">
        <is>
          <t>SUC-05</t>
        </is>
      </c>
      <c r="L237" t="inlineStr">
        <is>
          <t>Distribuidor</t>
        </is>
      </c>
      <c r="M237" t="inlineStr">
        <is>
          <t>Aprobado</t>
        </is>
      </c>
      <c r="N237" t="inlineStr">
        <is>
          <t>Critica</t>
        </is>
      </c>
      <c r="O237" t="n">
        <v>4</v>
      </c>
      <c r="P237" s="14" t="n">
        <v>8832</v>
      </c>
      <c r="Q237" s="15" t="n">
        <v>0</v>
      </c>
      <c r="R237" s="14" t="n">
        <v>5210.88</v>
      </c>
      <c r="S237" s="12" t="n">
        <v>46248</v>
      </c>
      <c r="T237" s="12" t="n">
        <v>46249</v>
      </c>
      <c r="U237" t="inlineStr">
        <is>
          <t>Resp 9</t>
        </is>
      </c>
      <c r="V237" t="inlineStr">
        <is>
          <t>archivo_03.csv</t>
        </is>
      </c>
      <c r="W237" s="14" t="n">
        <v>35328</v>
      </c>
      <c r="X237" s="14" t="n">
        <v>0</v>
      </c>
      <c r="Y237" s="14" t="n">
        <v>35328</v>
      </c>
      <c r="Z237" s="14" t="n">
        <v>20843.52</v>
      </c>
      <c r="AA237" s="14" t="n">
        <v>14484.48</v>
      </c>
      <c r="AB237" s="15" t="n">
        <v>0.41</v>
      </c>
      <c r="AC237" t="n">
        <v>14</v>
      </c>
      <c r="AD237" t="inlineStr">
        <is>
          <t>PACIFICO|OP-000236|20260801|P-100</t>
        </is>
      </c>
      <c r="AE237" t="n">
        <v>1</v>
      </c>
    </row>
    <row r="238">
      <c r="A238" t="n">
        <v>237</v>
      </c>
      <c r="B238" t="inlineStr">
        <is>
          <t>OP-000237</t>
        </is>
      </c>
      <c r="C238" s="12" t="n">
        <v>46242</v>
      </c>
      <c r="D238" s="13" t="n">
        <v>0.6979166666666666</v>
      </c>
      <c r="E238" t="inlineStr">
        <is>
          <t>C-0028</t>
        </is>
      </c>
      <c r="F238" t="inlineStr">
        <is>
          <t>Cliente 28</t>
        </is>
      </c>
      <c r="G238" t="inlineStr">
        <is>
          <t>P-200</t>
        </is>
      </c>
      <c r="H238" t="inlineStr">
        <is>
          <t>Teclado</t>
        </is>
      </c>
      <c r="I238" t="inlineStr">
        <is>
          <t>Tecnologia</t>
        </is>
      </c>
      <c r="J238" t="inlineStr">
        <is>
          <t>Norte</t>
        </is>
      </c>
      <c r="K238" t="inlineStr">
        <is>
          <t>SUC-06</t>
        </is>
      </c>
      <c r="L238" t="inlineStr">
        <is>
          <t>Digital</t>
        </is>
      </c>
      <c r="M238" t="inlineStr">
        <is>
          <t>Pendiente</t>
        </is>
      </c>
      <c r="N238" t="inlineStr">
        <is>
          <t>Alta</t>
        </is>
      </c>
      <c r="O238" t="n">
        <v>7</v>
      </c>
      <c r="P238" s="14" t="n">
        <v>8969</v>
      </c>
      <c r="Q238" s="15" t="n">
        <v>0.05</v>
      </c>
      <c r="R238" s="14" t="n">
        <v>5381.4</v>
      </c>
      <c r="S238" s="12" t="n">
        <v>46256</v>
      </c>
      <c r="T238" s="12" t="n">
        <v>46257</v>
      </c>
      <c r="U238" t="inlineStr">
        <is>
          <t>Resp 10</t>
        </is>
      </c>
      <c r="V238" t="inlineStr">
        <is>
          <t>archivo_04.csv</t>
        </is>
      </c>
      <c r="W238" s="14" t="n">
        <v>62783</v>
      </c>
      <c r="X238" s="14" t="n">
        <v>3139.15</v>
      </c>
      <c r="Y238" s="14" t="n">
        <v>59643.85</v>
      </c>
      <c r="Z238" s="14" t="n">
        <v>37669.8</v>
      </c>
      <c r="AA238" s="14" t="n">
        <v>21974.05</v>
      </c>
      <c r="AB238" s="15" t="n">
        <v>0.368421052631579</v>
      </c>
      <c r="AC238" t="n">
        <v>15</v>
      </c>
      <c r="AD238" t="inlineStr">
        <is>
          <t>NORTE|OP-000237|20260808|P-200</t>
        </is>
      </c>
      <c r="AE238" t="n">
        <v>1</v>
      </c>
    </row>
    <row r="239">
      <c r="A239" t="n">
        <v>238</v>
      </c>
      <c r="B239" t="inlineStr">
        <is>
          <t>OP-000238</t>
        </is>
      </c>
      <c r="C239" s="12" t="n">
        <v>46249</v>
      </c>
      <c r="D239" s="13" t="n">
        <v>0.7430555555555556</v>
      </c>
      <c r="E239" t="inlineStr">
        <is>
          <t>C-0029</t>
        </is>
      </c>
      <c r="F239" t="inlineStr">
        <is>
          <t>Cliente 29</t>
        </is>
      </c>
      <c r="G239" t="inlineStr">
        <is>
          <t>P-300</t>
        </is>
      </c>
      <c r="H239" t="inlineStr">
        <is>
          <t>Mouse</t>
        </is>
      </c>
      <c r="I239" t="inlineStr">
        <is>
          <t>Tecnologia</t>
        </is>
      </c>
      <c r="J239" t="inlineStr">
        <is>
          <t>Centro</t>
        </is>
      </c>
      <c r="K239" t="inlineStr">
        <is>
          <t>SUC-07</t>
        </is>
      </c>
      <c r="L239" t="inlineStr">
        <is>
          <t>Tienda</t>
        </is>
      </c>
      <c r="M239" t="inlineStr">
        <is>
          <t>Cancelado</t>
        </is>
      </c>
      <c r="N239" t="inlineStr">
        <is>
          <t>Media</t>
        </is>
      </c>
      <c r="O239" t="n">
        <v>10</v>
      </c>
      <c r="P239" s="14" t="n">
        <v>9106</v>
      </c>
      <c r="Q239" s="15" t="n">
        <v>0.1</v>
      </c>
      <c r="R239" s="14" t="n">
        <v>5554.66</v>
      </c>
      <c r="S239" s="12" t="n">
        <v>46264</v>
      </c>
      <c r="T239" s="12" t="n">
        <v>46265</v>
      </c>
      <c r="U239" t="inlineStr">
        <is>
          <t>Resp 11</t>
        </is>
      </c>
      <c r="V239" t="inlineStr">
        <is>
          <t>archivo_05.csv</t>
        </is>
      </c>
      <c r="W239" s="14" t="n">
        <v>91060</v>
      </c>
      <c r="X239" s="14" t="n">
        <v>9106</v>
      </c>
      <c r="Y239" s="14" t="n">
        <v>81954</v>
      </c>
      <c r="Z239" s="14" t="n">
        <v>55546.6</v>
      </c>
      <c r="AA239" s="14" t="n">
        <v>26407.4</v>
      </c>
      <c r="AB239" s="15" t="n">
        <v>0.3222222222222222</v>
      </c>
      <c r="AC239" t="n">
        <v>16</v>
      </c>
      <c r="AD239" t="inlineStr">
        <is>
          <t>CENTRO|OP-000238|20260815|P-300</t>
        </is>
      </c>
      <c r="AE239" t="n">
        <v>1</v>
      </c>
    </row>
    <row r="240">
      <c r="A240" t="n">
        <v>239</v>
      </c>
      <c r="B240" t="inlineStr">
        <is>
          <t>OP-000239</t>
        </is>
      </c>
      <c r="C240" s="12" t="n">
        <v>46256</v>
      </c>
      <c r="D240" s="13" t="n">
        <v>0.7881944444444444</v>
      </c>
      <c r="E240" t="inlineStr">
        <is>
          <t>C-0030</t>
        </is>
      </c>
      <c r="F240" t="inlineStr">
        <is>
          <t>Cliente 30</t>
        </is>
      </c>
      <c r="G240" t="inlineStr">
        <is>
          <t>P-400</t>
        </is>
      </c>
      <c r="H240" t="inlineStr">
        <is>
          <t>Laptop</t>
        </is>
      </c>
      <c r="I240" t="inlineStr">
        <is>
          <t>Tecnologia</t>
        </is>
      </c>
      <c r="J240" t="inlineStr">
        <is>
          <t>Sur</t>
        </is>
      </c>
      <c r="K240" t="inlineStr">
        <is>
          <t>SUC-08</t>
        </is>
      </c>
      <c r="L240" t="inlineStr">
        <is>
          <t>Distribuidor</t>
        </is>
      </c>
      <c r="M240" t="inlineStr">
        <is>
          <t>En revision</t>
        </is>
      </c>
      <c r="N240" t="inlineStr">
        <is>
          <t>Baja</t>
        </is>
      </c>
      <c r="O240" t="n">
        <v>13</v>
      </c>
      <c r="P240" s="14" t="n">
        <v>9243</v>
      </c>
      <c r="Q240" s="15" t="n">
        <v>0.15</v>
      </c>
      <c r="R240" s="14" t="n">
        <v>5730.66</v>
      </c>
      <c r="S240" s="12" t="n">
        <v>46272</v>
      </c>
      <c r="T240" s="12" t="n">
        <v>46273</v>
      </c>
      <c r="U240" t="inlineStr">
        <is>
          <t>Resp 12</t>
        </is>
      </c>
      <c r="V240" t="inlineStr">
        <is>
          <t>archivo_06.csv</t>
        </is>
      </c>
      <c r="W240" s="14" t="n">
        <v>120159</v>
      </c>
      <c r="X240" s="14" t="n">
        <v>18023.85</v>
      </c>
      <c r="Y240" s="14" t="n">
        <v>102135.15</v>
      </c>
      <c r="Z240" s="14" t="n">
        <v>74498.58</v>
      </c>
      <c r="AA240" s="14" t="n">
        <v>27636.56999999999</v>
      </c>
      <c r="AB240" s="15" t="n">
        <v>0.2705882352941176</v>
      </c>
      <c r="AC240" t="n">
        <v>17</v>
      </c>
      <c r="AD240" t="inlineStr">
        <is>
          <t>SUR|OP-000239|20260822|P-400</t>
        </is>
      </c>
      <c r="AE240" t="n">
        <v>1</v>
      </c>
    </row>
    <row r="241">
      <c r="A241" t="n">
        <v>240</v>
      </c>
      <c r="B241" t="inlineStr">
        <is>
          <t>OP-000240</t>
        </is>
      </c>
      <c r="C241" s="12" t="n">
        <v>46023</v>
      </c>
      <c r="D241" s="13" t="n">
        <v>0.2916666666666667</v>
      </c>
      <c r="E241" t="inlineStr">
        <is>
          <t>C-0031</t>
        </is>
      </c>
      <c r="F241" t="inlineStr">
        <is>
          <t>Cliente 31</t>
        </is>
      </c>
      <c r="G241" t="inlineStr">
        <is>
          <t>P-500</t>
        </is>
      </c>
      <c r="H241" t="inlineStr">
        <is>
          <t>Dock</t>
        </is>
      </c>
      <c r="I241" t="inlineStr">
        <is>
          <t>Tecnologia</t>
        </is>
      </c>
      <c r="J241" t="inlineStr">
        <is>
          <t>Pacifico</t>
        </is>
      </c>
      <c r="K241" t="inlineStr">
        <is>
          <t>SUC-01</t>
        </is>
      </c>
      <c r="L241" t="inlineStr">
        <is>
          <t>Digital</t>
        </is>
      </c>
      <c r="M241" t="inlineStr">
        <is>
          <t>Aprobado</t>
        </is>
      </c>
      <c r="N241" t="inlineStr">
        <is>
          <t>Critica</t>
        </is>
      </c>
      <c r="O241" t="n">
        <v>16</v>
      </c>
      <c r="P241" s="14" t="n">
        <v>9380</v>
      </c>
      <c r="Q241" s="15" t="n">
        <v>0</v>
      </c>
      <c r="R241" s="14" t="n">
        <v>5159</v>
      </c>
      <c r="S241" s="12" t="n">
        <v>46030</v>
      </c>
      <c r="T241" s="12" t="n">
        <v>46026</v>
      </c>
      <c r="U241" t="inlineStr">
        <is>
          <t>Resp 1</t>
        </is>
      </c>
      <c r="V241" t="inlineStr">
        <is>
          <t>archivo_01.csv</t>
        </is>
      </c>
      <c r="W241" s="14" t="n">
        <v>150080</v>
      </c>
      <c r="X241" s="14" t="n">
        <v>0</v>
      </c>
      <c r="Y241" s="14" t="n">
        <v>150080</v>
      </c>
      <c r="Z241" s="14" t="n">
        <v>82544</v>
      </c>
      <c r="AA241" s="14" t="n">
        <v>67536</v>
      </c>
      <c r="AB241" s="15" t="n">
        <v>0.45</v>
      </c>
      <c r="AC241" t="n">
        <v>3</v>
      </c>
      <c r="AD241" t="inlineStr">
        <is>
          <t>PACIFICO|OP-000240|20260101|P-500</t>
        </is>
      </c>
      <c r="AE241" t="n">
        <v>1</v>
      </c>
    </row>
    <row r="242">
      <c r="A242" t="n">
        <v>241</v>
      </c>
      <c r="B242" t="inlineStr">
        <is>
          <t>OP-000005</t>
        </is>
      </c>
      <c r="C242" s="12" t="n">
        <v>46058</v>
      </c>
      <c r="D242" s="13" t="n">
        <v>0.5173611111111112</v>
      </c>
      <c r="E242" t="inlineStr">
        <is>
          <t>C-0006</t>
        </is>
      </c>
      <c r="F242" t="inlineStr">
        <is>
          <t>Cliente 6</t>
        </is>
      </c>
      <c r="G242" t="inlineStr">
        <is>
          <t>P-500</t>
        </is>
      </c>
      <c r="H242" t="inlineStr">
        <is>
          <t>Dock</t>
        </is>
      </c>
      <c r="I242" t="inlineStr">
        <is>
          <t>Tecnologia</t>
        </is>
      </c>
      <c r="J242" t="inlineStr">
        <is>
          <t>Norte</t>
        </is>
      </c>
      <c r="K242" t="inlineStr">
        <is>
          <t>SUC-06</t>
        </is>
      </c>
      <c r="L242" t="inlineStr">
        <is>
          <t>Distribuidor</t>
        </is>
      </c>
      <c r="M242" t="inlineStr">
        <is>
          <t>Pendiente</t>
        </is>
      </c>
      <c r="N242" t="inlineStr">
        <is>
          <t>Alta</t>
        </is>
      </c>
      <c r="O242" t="n">
        <v>16</v>
      </c>
      <c r="P242" s="14" t="n">
        <v>1185</v>
      </c>
      <c r="Q242" s="15" t="n">
        <v>0.05</v>
      </c>
      <c r="R242" s="14" t="n">
        <v>711</v>
      </c>
      <c r="S242" s="12" t="n">
        <v>46070</v>
      </c>
      <c r="T242" s="12" t="n">
        <v>46066</v>
      </c>
      <c r="U242" t="inlineStr">
        <is>
          <t>Resp 6</t>
        </is>
      </c>
      <c r="V242" t="inlineStr">
        <is>
          <t>archivo_06.csv</t>
        </is>
      </c>
      <c r="W242" s="14" t="n">
        <v>18960</v>
      </c>
      <c r="X242" s="14" t="n">
        <v>948</v>
      </c>
      <c r="Y242" s="14" t="n">
        <v>18012</v>
      </c>
      <c r="Z242" s="14" t="n">
        <v>11376</v>
      </c>
      <c r="AA242" s="14" t="n">
        <v>6636</v>
      </c>
      <c r="AB242" s="15" t="n">
        <v>0.3684210526315789</v>
      </c>
      <c r="AC242" t="n">
        <v>8</v>
      </c>
      <c r="AD242" t="inlineStr">
        <is>
          <t>NORTE|OP-000005|20260205|P-500</t>
        </is>
      </c>
      <c r="AE242" t="n">
        <v>1</v>
      </c>
    </row>
    <row r="243">
      <c r="A243" t="n">
        <v>242</v>
      </c>
      <c r="B243" t="inlineStr">
        <is>
          <t>OP-000017</t>
        </is>
      </c>
      <c r="C243" s="12" t="n">
        <v>46142</v>
      </c>
      <c r="D243" s="13" t="n">
        <v>0.5173611111111112</v>
      </c>
      <c r="E243" t="inlineStr">
        <is>
          <t>C-0018</t>
        </is>
      </c>
      <c r="F243" t="inlineStr">
        <is>
          <t>Cliente 18</t>
        </is>
      </c>
      <c r="G243" t="inlineStr">
        <is>
          <t>P-200</t>
        </is>
      </c>
      <c r="H243" t="inlineStr">
        <is>
          <t>Teclado</t>
        </is>
      </c>
      <c r="I243" t="inlineStr">
        <is>
          <t>Tecnologia</t>
        </is>
      </c>
      <c r="J243" t="inlineStr">
        <is>
          <t>Norte</t>
        </is>
      </c>
      <c r="K243" t="inlineStr">
        <is>
          <t>SUC-02</t>
        </is>
      </c>
      <c r="L243" t="inlineStr">
        <is>
          <t>Distribuidor</t>
        </is>
      </c>
      <c r="M243" t="inlineStr">
        <is>
          <t>Pendiente</t>
        </is>
      </c>
      <c r="N243" t="inlineStr">
        <is>
          <t>Alta</t>
        </is>
      </c>
      <c r="O243" t="n">
        <v>5</v>
      </c>
      <c r="P243" s="14" t="n">
        <v>2829</v>
      </c>
      <c r="Q243" s="15" t="n">
        <v>0.05</v>
      </c>
      <c r="R243" s="14" t="n">
        <v>1584.24</v>
      </c>
      <c r="S243" s="12" t="n">
        <v>46156</v>
      </c>
      <c r="T243" s="12" t="n">
        <v>46147</v>
      </c>
      <c r="U243" t="inlineStr">
        <is>
          <t>Resp 6</t>
        </is>
      </c>
      <c r="V243" t="inlineStr">
        <is>
          <t>archivo_06.csv</t>
        </is>
      </c>
      <c r="W243" s="14" t="n">
        <v>14145</v>
      </c>
      <c r="X243" s="14" t="n">
        <v>707.25</v>
      </c>
      <c r="Y243" s="14" t="n">
        <v>13437.75</v>
      </c>
      <c r="Z243" s="14" t="n">
        <v>7921.2</v>
      </c>
      <c r="AA243" s="14" t="n">
        <v>5516.55</v>
      </c>
      <c r="AB243" s="15" t="n">
        <v>0.4105263157894737</v>
      </c>
      <c r="AC243" t="n">
        <v>5</v>
      </c>
      <c r="AD243" t="inlineStr">
        <is>
          <t>NORTE|OP-000017|20260430|P-200</t>
        </is>
      </c>
      <c r="AE243" t="n">
        <v>1</v>
      </c>
    </row>
    <row r="244">
      <c r="A244" t="n">
        <v>243</v>
      </c>
      <c r="B244" t="inlineStr">
        <is>
          <t>OP-29</t>
        </is>
      </c>
      <c r="C244" s="12" t="n">
        <v>46226</v>
      </c>
      <c r="D244" s="13" t="n">
        <v>0.5173611111111112</v>
      </c>
      <c r="E244" t="inlineStr">
        <is>
          <t>C-0030</t>
        </is>
      </c>
      <c r="F244" t="inlineStr">
        <is>
          <t>Cliente 30</t>
        </is>
      </c>
      <c r="G244" t="inlineStr">
        <is>
          <t>P-400</t>
        </is>
      </c>
      <c r="H244" t="inlineStr">
        <is>
          <t>Laptop</t>
        </is>
      </c>
      <c r="I244" t="inlineStr">
        <is>
          <t>Tecnologia</t>
        </is>
      </c>
      <c r="J244" t="inlineStr">
        <is>
          <t>Norte</t>
        </is>
      </c>
      <c r="K244" t="inlineStr">
        <is>
          <t>SUC-06</t>
        </is>
      </c>
      <c r="L244" t="inlineStr">
        <is>
          <t>Distribuidor</t>
        </is>
      </c>
      <c r="M244" t="inlineStr">
        <is>
          <t>Pendiente</t>
        </is>
      </c>
      <c r="N244" t="inlineStr">
        <is>
          <t>Alta</t>
        </is>
      </c>
      <c r="O244" t="n">
        <v>41</v>
      </c>
      <c r="P244" s="14" t="n">
        <v>4473</v>
      </c>
      <c r="Q244" s="15" t="n">
        <v>0.05</v>
      </c>
      <c r="R244" s="14" t="n">
        <v>2683.8</v>
      </c>
      <c r="S244" s="12" t="n">
        <v>46242</v>
      </c>
      <c r="T244" s="12" t="n">
        <v>46243</v>
      </c>
      <c r="U244" t="inlineStr">
        <is>
          <t>Resp 6</t>
        </is>
      </c>
      <c r="V244" t="inlineStr">
        <is>
          <t>archivo_06.csv</t>
        </is>
      </c>
      <c r="W244" s="14" t="n">
        <v>183393</v>
      </c>
      <c r="X244" s="14" t="n">
        <v>9169.65</v>
      </c>
      <c r="Y244" s="14" t="n">
        <v>174223.35</v>
      </c>
      <c r="Z244" s="14" t="n">
        <v>110035.8</v>
      </c>
      <c r="AA244" s="14" t="n">
        <v>64187.55</v>
      </c>
      <c r="AB244" s="15" t="n">
        <v>0.3684210526315789</v>
      </c>
      <c r="AC244" t="n">
        <v>17</v>
      </c>
      <c r="AD244" t="inlineStr">
        <is>
          <t>NORTE|OP-29|20260723|P-400</t>
        </is>
      </c>
      <c r="AE244" t="n">
        <v>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38" customWidth="1" min="3" max="3"/>
    <col width="32" customWidth="1" min="4" max="4"/>
    <col width="34" customWidth="1" min="5" max="5"/>
    <col width="16" customWidth="1" min="6" max="6"/>
  </cols>
  <sheetData>
    <row r="1" ht="24" customHeight="1">
      <c r="A1" s="1" t="inlineStr">
        <is>
          <t>Matriz de hallazgos</t>
        </is>
      </c>
    </row>
    <row r="2">
      <c r="A2" t="inlineStr">
        <is>
          <t>ID</t>
        </is>
      </c>
      <c r="B2" t="inlineStr">
        <is>
          <t>Area</t>
        </is>
      </c>
      <c r="C2" t="inlineStr">
        <is>
          <t>Hallazgo</t>
        </is>
      </c>
      <c r="D2" t="inlineStr">
        <is>
          <t>Impacto</t>
        </is>
      </c>
      <c r="E2" t="inlineStr">
        <is>
          <t>Accion</t>
        </is>
      </c>
      <c r="F2" t="inlineStr">
        <is>
          <t>Estado</t>
        </is>
      </c>
    </row>
    <row r="3">
      <c r="A3" s="4" t="n"/>
      <c r="B3" s="4" t="n"/>
      <c r="C3" s="4" t="n"/>
      <c r="D3" s="4" t="n"/>
      <c r="E3" s="4" t="n"/>
      <c r="F3" s="4" t="n"/>
      <c r="G3" s="4" t="n"/>
      <c r="H3" s="4" t="n"/>
    </row>
    <row r="4">
      <c r="A4" t="inlineStr">
        <is>
          <t>H-001</t>
        </is>
      </c>
      <c r="B4" t="inlineStr">
        <is>
          <t>Estructura</t>
        </is>
      </c>
      <c r="C4" t="inlineStr">
        <is>
          <t>Ultima fila fuera de tabla</t>
        </is>
      </c>
      <c r="D4" t="inlineStr">
        <is>
          <t>Registro omitido</t>
        </is>
      </c>
      <c r="E4" t="inlineStr">
        <is>
          <t>Ampliar tabla</t>
        </is>
      </c>
      <c r="F4" t="inlineStr">
        <is>
          <t>Pendiente</t>
        </is>
      </c>
    </row>
    <row r="5">
      <c r="A5" t="inlineStr">
        <is>
          <t>H-002</t>
        </is>
      </c>
      <c r="B5" t="inlineStr">
        <is>
          <t>Tipo</t>
        </is>
      </c>
      <c r="C5" t="inlineStr">
        <is>
          <t>Numero almacenado como texto</t>
        </is>
      </c>
      <c r="D5" t="inlineStr">
        <is>
          <t>Calculo o filtro incompleto</t>
        </is>
      </c>
      <c r="E5" t="inlineStr">
        <is>
          <t>Normalizar en auxiliar</t>
        </is>
      </c>
      <c r="F5" t="inlineStr">
        <is>
          <t>Pendiente</t>
        </is>
      </c>
    </row>
    <row r="6">
      <c r="A6" t="inlineStr">
        <is>
          <t>H-003</t>
        </is>
      </c>
      <c r="B6" t="inlineStr">
        <is>
          <t>Formula</t>
        </is>
      </c>
      <c r="C6" t="inlineStr">
        <is>
          <t>Formula reemplazada por valor</t>
        </is>
      </c>
      <c r="D6" t="inlineStr">
        <is>
          <t>Resultado inconsistente</t>
        </is>
      </c>
      <c r="E6" t="inlineStr">
        <is>
          <t>Restaurar formula</t>
        </is>
      </c>
      <c r="F6" t="inlineStr">
        <is>
          <t>Pendiente</t>
        </is>
      </c>
    </row>
    <row r="7">
      <c r="A7" t="inlineStr">
        <is>
          <t>H-004</t>
        </is>
      </c>
      <c r="B7" t="inlineStr">
        <is>
          <t>Visibilidad</t>
        </is>
      </c>
      <c r="C7" t="inlineStr">
        <is>
          <t>Filtro no documentado</t>
        </is>
      </c>
      <c r="D7" t="inlineStr">
        <is>
          <t>Vista parcial</t>
        </is>
      </c>
      <c r="E7" t="inlineStr">
        <is>
          <t>Borrar o documentar</t>
        </is>
      </c>
      <c r="F7" t="inlineStr">
        <is>
          <t>Pendiente</t>
        </is>
      </c>
    </row>
    <row r="8">
      <c r="A8" t="inlineStr">
        <is>
          <t>H-005</t>
        </is>
      </c>
      <c r="B8" t="inlineStr">
        <is>
          <t>Duplicidad</t>
        </is>
      </c>
      <c r="C8" t="inlineStr">
        <is>
          <t>Clave insuficiente</t>
        </is>
      </c>
      <c r="D8" t="inlineStr">
        <is>
          <t>Falsos positivos</t>
        </is>
      </c>
      <c r="E8" t="inlineStr">
        <is>
          <t>Aplicar clave autorizada</t>
        </is>
      </c>
      <c r="F8" t="inlineStr">
        <is>
          <t>Pendiente</t>
        </is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4" customWidth="1" min="2" max="2"/>
    <col width="42" customWidth="1" min="3" max="3"/>
  </cols>
  <sheetData>
    <row r="1" ht="24" customHeight="1">
      <c r="A1" s="1" t="inlineStr">
        <is>
          <t>Control final</t>
        </is>
      </c>
    </row>
    <row r="2">
      <c r="A2" t="inlineStr">
        <is>
          <t>Indicador</t>
        </is>
      </c>
      <c r="B2" t="inlineStr">
        <is>
          <t>Resultado</t>
        </is>
      </c>
      <c r="C2" t="inlineStr">
        <is>
          <t>Criterio</t>
        </is>
      </c>
    </row>
    <row r="3">
      <c r="A3" s="16" t="n"/>
      <c r="B3" s="16" t="n"/>
      <c r="C3" s="16" t="n"/>
      <c r="D3" s="16" t="n"/>
      <c r="E3" s="16" t="n"/>
      <c r="F3" s="16" t="n"/>
      <c r="G3" s="16" t="n"/>
      <c r="H3" s="16" t="n"/>
    </row>
    <row r="4">
      <c r="A4" t="inlineStr">
        <is>
          <t>Registros esperados</t>
        </is>
      </c>
      <c r="B4" t="n">
        <v>243</v>
      </c>
    </row>
    <row r="5">
      <c r="A5" t="inlineStr">
        <is>
          <t>Registros obtenidos</t>
        </is>
      </c>
      <c r="B5" t="inlineStr"/>
    </row>
    <row r="6">
      <c r="A6" t="inlineStr">
        <is>
          <t>Venta esperada</t>
        </is>
      </c>
      <c r="B6" s="14">
        <f>SUM(03_Operaciones!Y2:Y1048576)</f>
        <v/>
      </c>
    </row>
    <row r="7">
      <c r="A7" t="inlineStr">
        <is>
          <t>Venta obtenida</t>
        </is>
      </c>
      <c r="B7" s="14" t="inlineStr"/>
    </row>
    <row r="8">
      <c r="A8" t="inlineStr">
        <is>
          <t>Utilidad esperada</t>
        </is>
      </c>
      <c r="B8" s="14">
        <f>SUM(03_Operaciones!AA2:AA1048576)</f>
        <v/>
      </c>
    </row>
    <row r="9">
      <c r="A9" t="inlineStr">
        <is>
          <t>Utilidad obtenida</t>
        </is>
      </c>
      <c r="B9" s="14" t="inlineStr"/>
    </row>
    <row r="10">
      <c r="A10" t="inlineStr">
        <is>
          <t>Filtros activos</t>
        </is>
      </c>
      <c r="B10" t="n">
        <v>0</v>
      </c>
    </row>
    <row r="11">
      <c r="A11" t="inlineStr">
        <is>
          <t>Filas ocultas</t>
        </is>
      </c>
      <c r="B11" t="n">
        <v>0</v>
      </c>
    </row>
    <row r="12">
      <c r="A12" t="inlineStr">
        <is>
          <t>Errores criticos</t>
        </is>
      </c>
      <c r="B12" t="n">
        <v>0</v>
      </c>
    </row>
    <row r="13">
      <c r="A13" t="inlineStr">
        <is>
          <t>Casos totales</t>
        </is>
      </c>
      <c r="B13" t="n">
        <v>8</v>
      </c>
    </row>
    <row r="14">
      <c r="A14" t="inlineStr">
        <is>
          <t>Casos superados</t>
        </is>
      </c>
      <c r="B14" t="n">
        <v>0</v>
      </c>
    </row>
    <row r="15">
      <c r="A15" t="inlineStr">
        <is>
          <t>Diferencia registros</t>
        </is>
      </c>
      <c r="B15" s="10">
        <f>B4-B5</f>
        <v/>
      </c>
    </row>
    <row r="16">
      <c r="A16" t="inlineStr">
        <is>
          <t>Diferencia venta</t>
        </is>
      </c>
      <c r="B16" s="17">
        <f>B6-B7</f>
        <v/>
      </c>
    </row>
    <row r="17">
      <c r="A17" t="inlineStr">
        <is>
          <t>Diferencia utilidad</t>
        </is>
      </c>
      <c r="B17" s="17">
        <f>B8-B9</f>
        <v/>
      </c>
    </row>
    <row r="18">
      <c r="A18" t="inlineStr">
        <is>
          <t>Estado final</t>
        </is>
      </c>
      <c r="B18" s="10">
        <f>IF(AND(B15=0,B16=0,B17=0,B12=0,B14=B13),"APROBADO","REVISION REQUERIDA")</f>
        <v/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22" customWidth="1" min="2" max="2"/>
    <col width="18" customWidth="1" min="3" max="3"/>
    <col width="18" customWidth="1" min="4" max="4"/>
  </cols>
  <sheetData>
    <row r="1" ht="24" customHeight="1">
      <c r="A1" s="1" t="inlineStr">
        <is>
          <t>Panel de segmentaciones e indicadores</t>
        </is>
      </c>
    </row>
    <row r="4">
      <c r="A4" t="inlineStr">
        <is>
          <t>Inserte segmentaciones para Region, Estado, Canal y Prioridad.</t>
        </is>
      </c>
    </row>
    <row r="6">
      <c r="A6" t="inlineStr">
        <is>
          <t>Registros visibles</t>
        </is>
      </c>
      <c r="B6">
        <f>SUBTOTAL(103,03_Operaciones!B2:B1048576)</f>
        <v/>
      </c>
    </row>
    <row r="7">
      <c r="A7" t="inlineStr">
        <is>
          <t>Venta visible</t>
        </is>
      </c>
      <c r="B7">
        <f>SUBTOTAL(109,03_Operaciones!Y2:Y1048576)</f>
        <v/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24" customHeight="1">
      <c r="A1" s="1" t="inlineStr">
        <is>
          <t>Rangos de criterios</t>
        </is>
      </c>
    </row>
    <row r="2">
      <c r="A2" t="inlineStr">
        <is>
          <t>Region</t>
        </is>
      </c>
      <c r="B2" t="inlineStr">
        <is>
          <t>Estado</t>
        </is>
      </c>
      <c r="C2" t="inlineStr">
        <is>
          <t>Venta_Neta</t>
        </is>
      </c>
      <c r="D2" t="inlineStr">
        <is>
          <t>Prioridad</t>
        </is>
      </c>
      <c r="E2" t="inlineStr">
        <is>
          <t>Dias_Atraso</t>
        </is>
      </c>
    </row>
    <row r="3">
      <c r="A3" t="inlineStr">
        <is>
          <t>Pacifico</t>
        </is>
      </c>
      <c r="B3" t="inlineStr">
        <is>
          <t>Pendiente</t>
        </is>
      </c>
      <c r="C3" t="inlineStr">
        <is>
          <t>&gt;=50000</t>
        </is>
      </c>
      <c r="D3" t="inlineStr"/>
      <c r="E3" t="inlineStr"/>
    </row>
    <row r="4">
      <c r="A4" t="inlineStr"/>
      <c r="B4" t="inlineStr"/>
      <c r="C4" t="inlineStr"/>
      <c r="D4" t="inlineStr">
        <is>
          <t>Critica</t>
        </is>
      </c>
      <c r="E4" t="inlineStr">
        <is>
          <t>&gt;30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selection activeCell="A1" sqref="A1"/>
    </sheetView>
  </sheetViews>
  <sheetFormatPr baseColWidth="8" defaultRowHeight="15"/>
  <cols>
    <col width="50" customWidth="1" min="1" max="1"/>
    <col width="12" customWidth="1" min="2" max="2"/>
    <col width="24" customWidth="1" min="3" max="3"/>
    <col width="30" customWidth="1" min="4" max="4"/>
    <col width="20" customWidth="1" min="5" max="5"/>
  </cols>
  <sheetData>
    <row r="1" ht="24" customHeight="1">
      <c r="A1" s="1" t="inlineStr">
        <is>
          <t>Clasificacion de duplicados</t>
        </is>
      </c>
    </row>
    <row r="2">
      <c r="A2" t="inlineStr">
        <is>
          <t>Clave</t>
        </is>
      </c>
      <c r="B2" t="inlineStr">
        <is>
          <t>Conteo</t>
        </is>
      </c>
      <c r="C2" t="inlineStr">
        <is>
          <t>Clasificacion</t>
        </is>
      </c>
      <c r="D2" t="inlineStr">
        <is>
          <t>Accion</t>
        </is>
      </c>
      <c r="E2" t="inlineStr">
        <is>
          <t>Responsable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2026-09-04T01:46:08Z</dcterms:created>
  <dcterms:modified xmlns:dcterms="http://purl.org/dc/terms/" xmlns:xsi="http://www.w3.org/2001/XMLSchema-instance" xsi:type="dcterms:W3CDTF">2026-09-04T01:46:08Z</dcterms:modified>
</cp:coreProperties>
</file>