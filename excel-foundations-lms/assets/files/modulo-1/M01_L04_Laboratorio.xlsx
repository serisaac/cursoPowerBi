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" sheetId="1" state="visible" r:id="rId1"/>
    <sheet xmlns:r="http://schemas.openxmlformats.org/officeDocument/2006/relationships" name="Operaciones" sheetId="2" state="visible" r:id="rId2"/>
    <sheet xmlns:r="http://schemas.openxmlformats.org/officeDocument/2006/relationships" name="Control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Operaciones" displayName="TablaOperaciones" ref="A4:L64" headerRowCount="1">
  <autoFilter ref="A4:L6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04 - Laboratorio profesional</t>
        </is>
      </c>
    </row>
    <row r="2">
      <c r="A2" s="2" t="inlineStr">
        <is>
          <t>Captura y edicion de datos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Caso: Distribuidora Horizonte requiere preparar un entregable comercial controlado.</t>
        </is>
      </c>
    </row>
    <row r="6">
      <c r="A6" t="n">
        <v>2</v>
      </c>
      <c r="B6" s="4" t="inlineStr">
        <is>
          <t>Resuelva el caso sin instrucciones de comando. Seleccione las herramientas apropiadas.</t>
        </is>
      </c>
    </row>
    <row r="7">
      <c r="A7" t="n">
        <v>3</v>
      </c>
      <c r="B7" s="4" t="inlineStr">
        <is>
          <t>Conserve los datos, documente hallazgos y valide el resultado.</t>
        </is>
      </c>
    </row>
    <row r="8">
      <c r="A8" t="n">
        <v>4</v>
      </c>
      <c r="B8" s="4" t="inlineStr">
        <is>
          <t>Entregue una conclusión profesional en la hoja Control.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11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7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19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11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16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11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14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7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17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12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11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17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15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15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12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17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4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6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14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18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16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20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8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15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15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5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6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  <row r="35">
      <c r="A35" t="inlineStr">
        <is>
          <t>V-2026-0031</t>
        </is>
      </c>
      <c r="B35" t="inlineStr">
        <is>
          <t>2026-08-03</t>
        </is>
      </c>
      <c r="C35" t="inlineStr">
        <is>
          <t>Pacifico</t>
        </is>
      </c>
      <c r="D35" t="inlineStr">
        <is>
          <t>0003</t>
        </is>
      </c>
      <c r="E35" t="inlineStr">
        <is>
          <t>Mouse</t>
        </is>
      </c>
      <c r="F35" s="6" t="n">
        <v>4</v>
      </c>
      <c r="G35" s="7" t="n">
        <v>450</v>
      </c>
      <c r="H35" s="8" t="n">
        <v>0.15</v>
      </c>
      <c r="I35" t="inlineStr">
        <is>
          <t>En revision</t>
        </is>
      </c>
      <c r="J35" t="inlineStr">
        <is>
          <t>Registro 31</t>
        </is>
      </c>
      <c r="K35" s="9">
        <f>F35*G35*(1-H35)</f>
        <v/>
      </c>
      <c r="L35">
        <f>IF(A35="","Error","OK")</f>
        <v/>
      </c>
    </row>
    <row r="36">
      <c r="A36" t="inlineStr">
        <is>
          <t>V-2026-0032</t>
        </is>
      </c>
      <c r="B36" t="inlineStr">
        <is>
          <t>2026-08-04</t>
        </is>
      </c>
      <c r="C36" t="inlineStr">
        <is>
          <t>Norte</t>
        </is>
      </c>
      <c r="D36" t="inlineStr">
        <is>
          <t>0004</t>
        </is>
      </c>
      <c r="E36" t="inlineStr">
        <is>
          <t>Laptop</t>
        </is>
      </c>
      <c r="F36" s="6" t="n">
        <v>11</v>
      </c>
      <c r="G36" s="7" t="n">
        <v>15500</v>
      </c>
      <c r="H36" s="8" t="n">
        <v>0</v>
      </c>
      <c r="I36" t="inlineStr">
        <is>
          <t>Aprobado</t>
        </is>
      </c>
      <c r="J36" t="inlineStr">
        <is>
          <t>Registro 32</t>
        </is>
      </c>
      <c r="K36" s="9">
        <f>F36*G36*(1-H36)</f>
        <v/>
      </c>
      <c r="L36">
        <f>IF(A36="","Error","OK")</f>
        <v/>
      </c>
    </row>
    <row r="37">
      <c r="A37" t="inlineStr">
        <is>
          <t>V-2026-0033</t>
        </is>
      </c>
      <c r="B37" t="inlineStr">
        <is>
          <t>2026-08-05</t>
        </is>
      </c>
      <c r="C37" t="inlineStr">
        <is>
          <t>Centro</t>
        </is>
      </c>
      <c r="D37" t="inlineStr">
        <is>
          <t>0001</t>
        </is>
      </c>
      <c r="E37" t="inlineStr">
        <is>
          <t>Monitor</t>
        </is>
      </c>
      <c r="F37" s="6" t="n">
        <v>8</v>
      </c>
      <c r="G37" s="7" t="n">
        <v>3500</v>
      </c>
      <c r="H37" s="8" t="n">
        <v>0.05</v>
      </c>
      <c r="I37" t="inlineStr">
        <is>
          <t>Pendiente</t>
        </is>
      </c>
      <c r="J37" t="inlineStr">
        <is>
          <t>Registro 33</t>
        </is>
      </c>
      <c r="K37" s="9">
        <f>F37*G37*(1-H37)</f>
        <v/>
      </c>
      <c r="L37">
        <f>IF(A37="","Error","OK")</f>
        <v/>
      </c>
    </row>
    <row r="38">
      <c r="A38" t="inlineStr">
        <is>
          <t>V-2026-0034</t>
        </is>
      </c>
      <c r="B38" t="inlineStr">
        <is>
          <t>2026-08-06</t>
        </is>
      </c>
      <c r="C38" t="inlineStr">
        <is>
          <t>Sur</t>
        </is>
      </c>
      <c r="D38" t="inlineStr">
        <is>
          <t>0002</t>
        </is>
      </c>
      <c r="E38" t="inlineStr">
        <is>
          <t>Teclado</t>
        </is>
      </c>
      <c r="F38" s="6" t="n">
        <v>18</v>
      </c>
      <c r="G38" s="7" t="n">
        <v>850</v>
      </c>
      <c r="H38" s="8" t="n">
        <v>0.1</v>
      </c>
      <c r="I38" t="inlineStr">
        <is>
          <t>En revision</t>
        </is>
      </c>
      <c r="J38" t="inlineStr">
        <is>
          <t>Registro 34</t>
        </is>
      </c>
      <c r="K38" s="9">
        <f>F38*G38*(1-H38)</f>
        <v/>
      </c>
      <c r="L38">
        <f>IF(A38="","Error","OK")</f>
        <v/>
      </c>
    </row>
    <row r="39">
      <c r="A39" t="inlineStr">
        <is>
          <t>V-2026-0035</t>
        </is>
      </c>
      <c r="B39" t="inlineStr">
        <is>
          <t>2026-08-07</t>
        </is>
      </c>
      <c r="C39" t="inlineStr">
        <is>
          <t>Pacifico</t>
        </is>
      </c>
      <c r="D39" t="inlineStr">
        <is>
          <t>0003</t>
        </is>
      </c>
      <c r="E39" t="inlineStr">
        <is>
          <t>Mouse</t>
        </is>
      </c>
      <c r="F39" s="6" t="n">
        <v>20</v>
      </c>
      <c r="G39" s="7" t="n">
        <v>450</v>
      </c>
      <c r="H39" s="8" t="n">
        <v>0.15</v>
      </c>
      <c r="I39" t="inlineStr">
        <is>
          <t>Aprobado</t>
        </is>
      </c>
      <c r="J39" t="inlineStr">
        <is>
          <t>Registro 35</t>
        </is>
      </c>
      <c r="K39" s="9">
        <f>F39*G39*(1-H39)</f>
        <v/>
      </c>
      <c r="L39">
        <f>IF(A39="","Error","OK")</f>
        <v/>
      </c>
    </row>
    <row r="40">
      <c r="A40" t="inlineStr">
        <is>
          <t>V-2026-0036</t>
        </is>
      </c>
      <c r="B40" t="inlineStr">
        <is>
          <t>2026-08-08</t>
        </is>
      </c>
      <c r="C40" t="inlineStr">
        <is>
          <t>Norte</t>
        </is>
      </c>
      <c r="D40" t="inlineStr">
        <is>
          <t>0004</t>
        </is>
      </c>
      <c r="E40" t="inlineStr">
        <is>
          <t>Laptop</t>
        </is>
      </c>
      <c r="F40" s="6" t="n">
        <v>1</v>
      </c>
      <c r="G40" s="7" t="n">
        <v>15500</v>
      </c>
      <c r="H40" s="8" t="n">
        <v>0</v>
      </c>
      <c r="I40" t="inlineStr">
        <is>
          <t>Pendiente</t>
        </is>
      </c>
      <c r="J40" t="inlineStr">
        <is>
          <t>Registro 36</t>
        </is>
      </c>
      <c r="K40" s="9">
        <f>F40*G40*(1-H40)</f>
        <v/>
      </c>
      <c r="L40">
        <f>IF(A40="","Error","OK")</f>
        <v/>
      </c>
    </row>
    <row r="41">
      <c r="A41" t="inlineStr">
        <is>
          <t>V-2026-0037</t>
        </is>
      </c>
      <c r="B41" t="inlineStr">
        <is>
          <t>2026-08-09</t>
        </is>
      </c>
      <c r="C41" t="inlineStr">
        <is>
          <t>Centro</t>
        </is>
      </c>
      <c r="D41" t="inlineStr">
        <is>
          <t>0001</t>
        </is>
      </c>
      <c r="E41" t="inlineStr">
        <is>
          <t>Monitor</t>
        </is>
      </c>
      <c r="F41" s="6" t="n">
        <v>2</v>
      </c>
      <c r="G41" s="7" t="n">
        <v>3500</v>
      </c>
      <c r="H41" s="8" t="n">
        <v>0.05</v>
      </c>
      <c r="I41" t="inlineStr">
        <is>
          <t>En revision</t>
        </is>
      </c>
      <c r="J41" t="inlineStr">
        <is>
          <t>Registro 37</t>
        </is>
      </c>
      <c r="K41" s="9">
        <f>F41*G41*(1-H41)</f>
        <v/>
      </c>
      <c r="L41">
        <f>IF(A41="","Error","OK")</f>
        <v/>
      </c>
    </row>
    <row r="42">
      <c r="A42" t="inlineStr">
        <is>
          <t>V-2026-0038</t>
        </is>
      </c>
      <c r="B42" t="inlineStr">
        <is>
          <t>2026-08-10</t>
        </is>
      </c>
      <c r="C42" t="inlineStr">
        <is>
          <t>Sur</t>
        </is>
      </c>
      <c r="D42" t="inlineStr">
        <is>
          <t>0002</t>
        </is>
      </c>
      <c r="E42" t="inlineStr">
        <is>
          <t>Teclado</t>
        </is>
      </c>
      <c r="F42" s="6" t="n">
        <v>13</v>
      </c>
      <c r="G42" s="7" t="n">
        <v>850</v>
      </c>
      <c r="H42" s="8" t="n">
        <v>0.1</v>
      </c>
      <c r="I42" t="inlineStr">
        <is>
          <t>Aprobado</t>
        </is>
      </c>
      <c r="J42" t="inlineStr">
        <is>
          <t>Registro 38</t>
        </is>
      </c>
      <c r="K42" s="9">
        <f>F42*G42*(1-H42)</f>
        <v/>
      </c>
      <c r="L42">
        <f>IF(A42="","Error","OK")</f>
        <v/>
      </c>
    </row>
    <row r="43">
      <c r="A43" t="inlineStr">
        <is>
          <t>V-2026-0039</t>
        </is>
      </c>
      <c r="B43" t="inlineStr">
        <is>
          <t>2026-08-11</t>
        </is>
      </c>
      <c r="C43" t="inlineStr">
        <is>
          <t>Pacifico</t>
        </is>
      </c>
      <c r="D43" t="inlineStr">
        <is>
          <t>0003</t>
        </is>
      </c>
      <c r="E43" t="inlineStr">
        <is>
          <t>Mouse</t>
        </is>
      </c>
      <c r="F43" s="6" t="n">
        <v>5</v>
      </c>
      <c r="G43" s="7" t="n">
        <v>450</v>
      </c>
      <c r="H43" s="8" t="n">
        <v>0.15</v>
      </c>
      <c r="I43" t="inlineStr">
        <is>
          <t>Pendiente</t>
        </is>
      </c>
      <c r="J43" t="inlineStr">
        <is>
          <t>Registro 39</t>
        </is>
      </c>
      <c r="K43" s="9">
        <f>F43*G43*(1-H43)</f>
        <v/>
      </c>
      <c r="L43">
        <f>IF(A43="","Error","OK")</f>
        <v/>
      </c>
    </row>
    <row r="44">
      <c r="A44" t="inlineStr">
        <is>
          <t>V-2026-0040</t>
        </is>
      </c>
      <c r="B44" t="inlineStr">
        <is>
          <t>2026-08-12</t>
        </is>
      </c>
      <c r="C44" t="inlineStr">
        <is>
          <t>Norte</t>
        </is>
      </c>
      <c r="D44" t="inlineStr">
        <is>
          <t>0004</t>
        </is>
      </c>
      <c r="E44" t="inlineStr">
        <is>
          <t>Laptop</t>
        </is>
      </c>
      <c r="F44" s="6" t="n">
        <v>19</v>
      </c>
      <c r="G44" s="7" t="n">
        <v>15500</v>
      </c>
      <c r="H44" s="8" t="n">
        <v>0</v>
      </c>
      <c r="I44" t="inlineStr">
        <is>
          <t>En revision</t>
        </is>
      </c>
      <c r="J44" t="inlineStr">
        <is>
          <t>Registro 40</t>
        </is>
      </c>
      <c r="K44" s="9">
        <f>F44*G44*(1-H44)</f>
        <v/>
      </c>
      <c r="L44">
        <f>IF(A44="","Error","OK")</f>
        <v/>
      </c>
    </row>
    <row r="45">
      <c r="A45" t="inlineStr">
        <is>
          <t>V-2026-0041</t>
        </is>
      </c>
      <c r="B45" t="inlineStr">
        <is>
          <t>2026-08-13</t>
        </is>
      </c>
      <c r="C45" t="inlineStr">
        <is>
          <t>Centro</t>
        </is>
      </c>
      <c r="D45" t="inlineStr">
        <is>
          <t>0001</t>
        </is>
      </c>
      <c r="E45" t="inlineStr">
        <is>
          <t>Monitor</t>
        </is>
      </c>
      <c r="F45" s="6" t="n">
        <v>17</v>
      </c>
      <c r="G45" s="7" t="n">
        <v>3500</v>
      </c>
      <c r="H45" s="8" t="n">
        <v>0.05</v>
      </c>
      <c r="I45" t="inlineStr">
        <is>
          <t>Aprobado</t>
        </is>
      </c>
      <c r="J45" t="inlineStr">
        <is>
          <t>Registro 41</t>
        </is>
      </c>
      <c r="K45" s="9">
        <f>F45*G45*(1-H45)</f>
        <v/>
      </c>
      <c r="L45">
        <f>IF(A45="","Error","OK")</f>
        <v/>
      </c>
    </row>
    <row r="46">
      <c r="A46" t="inlineStr">
        <is>
          <t>V-2026-0042</t>
        </is>
      </c>
      <c r="B46" t="inlineStr">
        <is>
          <t>2026-08-14</t>
        </is>
      </c>
      <c r="C46" t="inlineStr">
        <is>
          <t>Sur</t>
        </is>
      </c>
      <c r="D46" t="inlineStr">
        <is>
          <t>0002</t>
        </is>
      </c>
      <c r="E46" t="inlineStr">
        <is>
          <t>Teclado</t>
        </is>
      </c>
      <c r="F46" s="6" t="n">
        <v>8</v>
      </c>
      <c r="G46" s="7" t="n">
        <v>850</v>
      </c>
      <c r="H46" s="8" t="n">
        <v>0.1</v>
      </c>
      <c r="I46" t="inlineStr">
        <is>
          <t>Pendiente</t>
        </is>
      </c>
      <c r="J46" t="inlineStr">
        <is>
          <t>Registro 42</t>
        </is>
      </c>
      <c r="K46" s="9">
        <f>F46*G46*(1-H46)</f>
        <v/>
      </c>
      <c r="L46">
        <f>IF(A46="","Error","OK")</f>
        <v/>
      </c>
    </row>
    <row r="47">
      <c r="A47" t="inlineStr">
        <is>
          <t>V-2026-0043</t>
        </is>
      </c>
      <c r="B47" t="inlineStr">
        <is>
          <t>2026-08-15</t>
        </is>
      </c>
      <c r="C47" t="inlineStr">
        <is>
          <t>Pacifico</t>
        </is>
      </c>
      <c r="D47" t="inlineStr">
        <is>
          <t>0003</t>
        </is>
      </c>
      <c r="E47" t="inlineStr">
        <is>
          <t>Mouse</t>
        </is>
      </c>
      <c r="F47" s="6" t="n">
        <v>2</v>
      </c>
      <c r="G47" s="7" t="n">
        <v>450</v>
      </c>
      <c r="H47" s="8" t="n">
        <v>0.15</v>
      </c>
      <c r="I47" t="inlineStr">
        <is>
          <t>En revision</t>
        </is>
      </c>
      <c r="J47" t="inlineStr">
        <is>
          <t>Registro 43</t>
        </is>
      </c>
      <c r="K47" s="9">
        <f>F47*G47*(1-H47)</f>
        <v/>
      </c>
      <c r="L47">
        <f>IF(A47="","Error","OK")</f>
        <v/>
      </c>
    </row>
    <row r="48">
      <c r="A48" t="inlineStr">
        <is>
          <t>V-2026-0044</t>
        </is>
      </c>
      <c r="B48" t="inlineStr">
        <is>
          <t>2026-08-16</t>
        </is>
      </c>
      <c r="C48" t="inlineStr">
        <is>
          <t>Norte</t>
        </is>
      </c>
      <c r="D48" t="inlineStr">
        <is>
          <t>0004</t>
        </is>
      </c>
      <c r="E48" t="inlineStr">
        <is>
          <t>Laptop</t>
        </is>
      </c>
      <c r="F48" s="6" t="n">
        <v>3</v>
      </c>
      <c r="G48" s="7" t="n">
        <v>15500</v>
      </c>
      <c r="H48" s="8" t="n">
        <v>0</v>
      </c>
      <c r="I48" t="inlineStr">
        <is>
          <t>Aprobado</t>
        </is>
      </c>
      <c r="J48" t="inlineStr">
        <is>
          <t>Registro 44</t>
        </is>
      </c>
      <c r="K48" s="9">
        <f>F48*G48*(1-H48)</f>
        <v/>
      </c>
      <c r="L48">
        <f>IF(A48="","Error","OK")</f>
        <v/>
      </c>
    </row>
    <row r="49">
      <c r="A49" t="inlineStr">
        <is>
          <t>V-2026-0045</t>
        </is>
      </c>
      <c r="B49" t="inlineStr">
        <is>
          <t>2026-08-17</t>
        </is>
      </c>
      <c r="C49" t="inlineStr">
        <is>
          <t>Centro</t>
        </is>
      </c>
      <c r="D49" t="inlineStr">
        <is>
          <t>0001</t>
        </is>
      </c>
      <c r="E49" t="inlineStr">
        <is>
          <t>Monitor</t>
        </is>
      </c>
      <c r="F49" s="6" t="n">
        <v>16</v>
      </c>
      <c r="G49" s="7" t="n">
        <v>3500</v>
      </c>
      <c r="H49" s="8" t="n">
        <v>0.05</v>
      </c>
      <c r="I49" t="inlineStr">
        <is>
          <t>Pendiente</t>
        </is>
      </c>
      <c r="J49" t="inlineStr">
        <is>
          <t>Registro 45</t>
        </is>
      </c>
      <c r="K49" s="9">
        <f>F49*G49*(1-H49)</f>
        <v/>
      </c>
      <c r="L49">
        <f>IF(A49="","Error","OK")</f>
        <v/>
      </c>
    </row>
    <row r="50">
      <c r="A50" t="inlineStr">
        <is>
          <t>V-2026-0046</t>
        </is>
      </c>
      <c r="B50" t="inlineStr">
        <is>
          <t>2026-08-18</t>
        </is>
      </c>
      <c r="C50" t="inlineStr">
        <is>
          <t>Sur</t>
        </is>
      </c>
      <c r="D50" t="inlineStr">
        <is>
          <t>0002</t>
        </is>
      </c>
      <c r="E50" t="inlineStr">
        <is>
          <t>Teclado</t>
        </is>
      </c>
      <c r="F50" s="6" t="n">
        <v>15</v>
      </c>
      <c r="G50" s="7" t="n">
        <v>850</v>
      </c>
      <c r="H50" s="8" t="n">
        <v>0.1</v>
      </c>
      <c r="I50" t="inlineStr">
        <is>
          <t>En revision</t>
        </is>
      </c>
      <c r="J50" t="inlineStr">
        <is>
          <t>Registro 46</t>
        </is>
      </c>
      <c r="K50" s="9">
        <f>F50*G50*(1-H50)</f>
        <v/>
      </c>
      <c r="L50">
        <f>IF(A50="","Error","OK")</f>
        <v/>
      </c>
    </row>
    <row r="51">
      <c r="A51" t="inlineStr">
        <is>
          <t>V-2026-0047</t>
        </is>
      </c>
      <c r="B51" t="inlineStr">
        <is>
          <t>2026-08-19</t>
        </is>
      </c>
      <c r="C51" t="inlineStr">
        <is>
          <t>Pacifico</t>
        </is>
      </c>
      <c r="D51" t="inlineStr">
        <is>
          <t>0003</t>
        </is>
      </c>
      <c r="E51" t="inlineStr">
        <is>
          <t>Mouse</t>
        </is>
      </c>
      <c r="F51" s="6" t="n">
        <v>1</v>
      </c>
      <c r="G51" s="7" t="n">
        <v>450</v>
      </c>
      <c r="H51" s="8" t="n">
        <v>0.15</v>
      </c>
      <c r="I51" t="inlineStr">
        <is>
          <t>Aprobado</t>
        </is>
      </c>
      <c r="J51" t="inlineStr">
        <is>
          <t>Registro 47</t>
        </is>
      </c>
      <c r="K51" s="9">
        <f>F51*G51*(1-H51)</f>
        <v/>
      </c>
      <c r="L51">
        <f>IF(A51="","Error","OK")</f>
        <v/>
      </c>
    </row>
    <row r="52">
      <c r="A52" t="inlineStr">
        <is>
          <t>V-2026-0048</t>
        </is>
      </c>
      <c r="B52" t="inlineStr">
        <is>
          <t>2026-08-20</t>
        </is>
      </c>
      <c r="C52" t="inlineStr">
        <is>
          <t>Norte</t>
        </is>
      </c>
      <c r="D52" t="inlineStr">
        <is>
          <t>0004</t>
        </is>
      </c>
      <c r="E52" t="inlineStr">
        <is>
          <t>Laptop</t>
        </is>
      </c>
      <c r="F52" s="6" t="n">
        <v>12</v>
      </c>
      <c r="G52" s="7" t="n">
        <v>15500</v>
      </c>
      <c r="H52" s="8" t="n">
        <v>0</v>
      </c>
      <c r="I52" t="inlineStr">
        <is>
          <t>Pendiente</t>
        </is>
      </c>
      <c r="J52" t="inlineStr">
        <is>
          <t>Registro 48</t>
        </is>
      </c>
      <c r="K52" s="9">
        <f>F52*G52*(1-H52)</f>
        <v/>
      </c>
      <c r="L52">
        <f>IF(A52="","Error","OK")</f>
        <v/>
      </c>
    </row>
    <row r="53">
      <c r="A53" t="inlineStr">
        <is>
          <t>V-2026-0049</t>
        </is>
      </c>
      <c r="B53" t="inlineStr">
        <is>
          <t>2026-08-21</t>
        </is>
      </c>
      <c r="C53" t="inlineStr">
        <is>
          <t>Centro</t>
        </is>
      </c>
      <c r="D53" t="inlineStr">
        <is>
          <t>0001</t>
        </is>
      </c>
      <c r="E53" t="inlineStr">
        <is>
          <t>Monitor</t>
        </is>
      </c>
      <c r="F53" s="6" t="n">
        <v>5</v>
      </c>
      <c r="G53" s="7" t="n">
        <v>3500</v>
      </c>
      <c r="H53" s="8" t="n">
        <v>0.05</v>
      </c>
      <c r="I53" t="inlineStr">
        <is>
          <t>En revision</t>
        </is>
      </c>
      <c r="J53" t="inlineStr">
        <is>
          <t>Registro 49</t>
        </is>
      </c>
      <c r="K53" s="9">
        <f>F53*G53*(1-H53)</f>
        <v/>
      </c>
      <c r="L53">
        <f>IF(A53="","Error","OK")</f>
        <v/>
      </c>
    </row>
    <row r="54">
      <c r="A54" t="inlineStr">
        <is>
          <t>V-2026-0050</t>
        </is>
      </c>
      <c r="B54" t="inlineStr">
        <is>
          <t>2026-08-22</t>
        </is>
      </c>
      <c r="C54" t="inlineStr">
        <is>
          <t>Sur</t>
        </is>
      </c>
      <c r="D54" t="inlineStr">
        <is>
          <t>0002</t>
        </is>
      </c>
      <c r="E54" t="inlineStr">
        <is>
          <t>Teclado</t>
        </is>
      </c>
      <c r="F54" s="6" t="n">
        <v>6</v>
      </c>
      <c r="G54" s="7" t="n">
        <v>850</v>
      </c>
      <c r="H54" s="8" t="n">
        <v>0.1</v>
      </c>
      <c r="I54" t="inlineStr">
        <is>
          <t>Aprobado</t>
        </is>
      </c>
      <c r="J54" t="inlineStr">
        <is>
          <t>Registro 50</t>
        </is>
      </c>
      <c r="K54" s="9">
        <f>F54*G54*(1-H54)</f>
        <v/>
      </c>
      <c r="L54">
        <f>IF(A54="","Error","OK")</f>
        <v/>
      </c>
    </row>
    <row r="55">
      <c r="A55" t="inlineStr">
        <is>
          <t>V-2026-0051</t>
        </is>
      </c>
      <c r="B55" t="inlineStr">
        <is>
          <t>2026-08-23</t>
        </is>
      </c>
      <c r="C55" t="inlineStr">
        <is>
          <t>Pacifico</t>
        </is>
      </c>
      <c r="D55" t="inlineStr">
        <is>
          <t>0003</t>
        </is>
      </c>
      <c r="E55" t="inlineStr">
        <is>
          <t>Mouse</t>
        </is>
      </c>
      <c r="F55" s="6" t="n">
        <v>2</v>
      </c>
      <c r="G55" s="7" t="n">
        <v>450</v>
      </c>
      <c r="H55" s="8" t="n">
        <v>0.15</v>
      </c>
      <c r="I55" t="inlineStr">
        <is>
          <t>Pendiente</t>
        </is>
      </c>
      <c r="J55" t="inlineStr">
        <is>
          <t>Registro 51</t>
        </is>
      </c>
      <c r="K55" s="9">
        <f>F55*G55*(1-H55)</f>
        <v/>
      </c>
      <c r="L55">
        <f>IF(A55="","Error","OK")</f>
        <v/>
      </c>
    </row>
    <row r="56">
      <c r="A56" t="inlineStr">
        <is>
          <t>V-2026-0052</t>
        </is>
      </c>
      <c r="B56" t="inlineStr">
        <is>
          <t>2026-08-24</t>
        </is>
      </c>
      <c r="C56" t="inlineStr">
        <is>
          <t>Norte</t>
        </is>
      </c>
      <c r="D56" t="inlineStr">
        <is>
          <t>0004</t>
        </is>
      </c>
      <c r="E56" t="inlineStr">
        <is>
          <t>Laptop</t>
        </is>
      </c>
      <c r="F56" s="6" t="n">
        <v>1</v>
      </c>
      <c r="G56" s="7" t="n">
        <v>15500</v>
      </c>
      <c r="H56" s="8" t="n">
        <v>0</v>
      </c>
      <c r="I56" t="inlineStr">
        <is>
          <t>En revision</t>
        </is>
      </c>
      <c r="J56" t="inlineStr">
        <is>
          <t>Registro 52</t>
        </is>
      </c>
      <c r="K56" s="9">
        <f>F56*G56*(1-H56)</f>
        <v/>
      </c>
      <c r="L56">
        <f>IF(A56="","Error","OK")</f>
        <v/>
      </c>
    </row>
    <row r="57">
      <c r="A57" t="inlineStr">
        <is>
          <t>V-2026-0053</t>
        </is>
      </c>
      <c r="B57" t="inlineStr">
        <is>
          <t>2026-08-25</t>
        </is>
      </c>
      <c r="C57" t="inlineStr">
        <is>
          <t>Centro</t>
        </is>
      </c>
      <c r="D57" t="inlineStr">
        <is>
          <t>0001</t>
        </is>
      </c>
      <c r="E57" t="inlineStr">
        <is>
          <t>Monitor</t>
        </is>
      </c>
      <c r="F57" s="6" t="n">
        <v>18</v>
      </c>
      <c r="G57" s="7" t="n">
        <v>3500</v>
      </c>
      <c r="H57" s="8" t="n">
        <v>0.05</v>
      </c>
      <c r="I57" t="inlineStr">
        <is>
          <t>Aprobado</t>
        </is>
      </c>
      <c r="J57" t="inlineStr">
        <is>
          <t>Registro 53</t>
        </is>
      </c>
      <c r="K57" s="9">
        <f>F57*G57*(1-H57)</f>
        <v/>
      </c>
      <c r="L57">
        <f>IF(A57="","Error","OK")</f>
        <v/>
      </c>
    </row>
    <row r="58">
      <c r="A58" t="inlineStr">
        <is>
          <t>V-2026-0054</t>
        </is>
      </c>
      <c r="B58" t="inlineStr">
        <is>
          <t>2026-08-26</t>
        </is>
      </c>
      <c r="C58" t="inlineStr">
        <is>
          <t>Sur</t>
        </is>
      </c>
      <c r="D58" t="inlineStr">
        <is>
          <t>0002</t>
        </is>
      </c>
      <c r="E58" t="inlineStr">
        <is>
          <t>Teclado</t>
        </is>
      </c>
      <c r="F58" s="6" t="n">
        <v>7</v>
      </c>
      <c r="G58" s="7" t="n">
        <v>850</v>
      </c>
      <c r="H58" s="8" t="n">
        <v>0.1</v>
      </c>
      <c r="I58" t="inlineStr">
        <is>
          <t>Pendiente</t>
        </is>
      </c>
      <c r="J58" t="inlineStr">
        <is>
          <t>Registro 54</t>
        </is>
      </c>
      <c r="K58" s="9">
        <f>F58*G58*(1-H58)</f>
        <v/>
      </c>
      <c r="L58">
        <f>IF(A58="","Error","OK")</f>
        <v/>
      </c>
    </row>
    <row r="59">
      <c r="A59" t="inlineStr">
        <is>
          <t>V-2026-0055</t>
        </is>
      </c>
      <c r="B59" t="inlineStr">
        <is>
          <t>2026-08-27</t>
        </is>
      </c>
      <c r="C59" t="inlineStr">
        <is>
          <t>Pacifico</t>
        </is>
      </c>
      <c r="D59" t="inlineStr">
        <is>
          <t>0003</t>
        </is>
      </c>
      <c r="E59" t="inlineStr">
        <is>
          <t>Mouse</t>
        </is>
      </c>
      <c r="F59" s="6" t="n">
        <v>16</v>
      </c>
      <c r="G59" s="7" t="n">
        <v>450</v>
      </c>
      <c r="H59" s="8" t="n">
        <v>0.15</v>
      </c>
      <c r="I59" t="inlineStr">
        <is>
          <t>En revision</t>
        </is>
      </c>
      <c r="J59" t="inlineStr">
        <is>
          <t>Registro 55</t>
        </is>
      </c>
      <c r="K59" s="9">
        <f>F59*G59*(1-H59)</f>
        <v/>
      </c>
      <c r="L59">
        <f>IF(A59="","Error","OK")</f>
        <v/>
      </c>
    </row>
    <row r="60">
      <c r="A60" t="inlineStr">
        <is>
          <t>V-2026-0056</t>
        </is>
      </c>
      <c r="B60" t="inlineStr">
        <is>
          <t>2026-08-28</t>
        </is>
      </c>
      <c r="C60" t="inlineStr">
        <is>
          <t>Norte</t>
        </is>
      </c>
      <c r="D60" t="inlineStr">
        <is>
          <t>0004</t>
        </is>
      </c>
      <c r="E60" t="inlineStr">
        <is>
          <t>Laptop</t>
        </is>
      </c>
      <c r="F60" s="6" t="n">
        <v>2</v>
      </c>
      <c r="G60" s="7" t="n">
        <v>15500</v>
      </c>
      <c r="H60" s="8" t="n">
        <v>0</v>
      </c>
      <c r="I60" t="inlineStr">
        <is>
          <t>Aprobado</t>
        </is>
      </c>
      <c r="J60" t="inlineStr">
        <is>
          <t>Registro 56</t>
        </is>
      </c>
      <c r="K60" s="9">
        <f>F60*G60*(1-H60)</f>
        <v/>
      </c>
      <c r="L60">
        <f>IF(A60="","Error","OK")</f>
        <v/>
      </c>
    </row>
    <row r="61">
      <c r="A61" t="inlineStr">
        <is>
          <t>V-2026-0057</t>
        </is>
      </c>
      <c r="B61" t="inlineStr">
        <is>
          <t>2026-08-01</t>
        </is>
      </c>
      <c r="C61" t="inlineStr">
        <is>
          <t>Centro</t>
        </is>
      </c>
      <c r="D61" t="inlineStr">
        <is>
          <t>0001</t>
        </is>
      </c>
      <c r="E61" t="inlineStr">
        <is>
          <t>Monitor</t>
        </is>
      </c>
      <c r="F61" s="6" t="n">
        <v>18</v>
      </c>
      <c r="G61" s="7" t="n">
        <v>3500</v>
      </c>
      <c r="H61" s="8" t="n">
        <v>0.05</v>
      </c>
      <c r="I61" t="inlineStr">
        <is>
          <t>Pendiente</t>
        </is>
      </c>
      <c r="J61" t="inlineStr">
        <is>
          <t>Registro 57</t>
        </is>
      </c>
      <c r="K61" s="9">
        <f>F61*G61*(1-H61)</f>
        <v/>
      </c>
      <c r="L61">
        <f>IF(A61="","Error","OK")</f>
        <v/>
      </c>
    </row>
    <row r="62">
      <c r="A62" t="inlineStr">
        <is>
          <t>V-2026-0058</t>
        </is>
      </c>
      <c r="B62" t="inlineStr">
        <is>
          <t>2026-08-02</t>
        </is>
      </c>
      <c r="C62" t="inlineStr">
        <is>
          <t>Sur</t>
        </is>
      </c>
      <c r="D62" t="inlineStr">
        <is>
          <t>0002</t>
        </is>
      </c>
      <c r="E62" t="inlineStr">
        <is>
          <t>Teclado</t>
        </is>
      </c>
      <c r="F62" s="6" t="n">
        <v>16</v>
      </c>
      <c r="G62" s="7" t="n">
        <v>850</v>
      </c>
      <c r="H62" s="8" t="n">
        <v>0.1</v>
      </c>
      <c r="I62" t="inlineStr">
        <is>
          <t>En revision</t>
        </is>
      </c>
      <c r="J62" t="inlineStr">
        <is>
          <t>Registro 58</t>
        </is>
      </c>
      <c r="K62" s="9">
        <f>F62*G62*(1-H62)</f>
        <v/>
      </c>
      <c r="L62">
        <f>IF(A62="","Error","OK")</f>
        <v/>
      </c>
    </row>
    <row r="63">
      <c r="A63" t="inlineStr">
        <is>
          <t>V-2026-0059</t>
        </is>
      </c>
      <c r="B63" t="inlineStr">
        <is>
          <t>2026-08-03</t>
        </is>
      </c>
      <c r="C63" t="inlineStr">
        <is>
          <t>Pacifico</t>
        </is>
      </c>
      <c r="D63" t="inlineStr">
        <is>
          <t>0003</t>
        </is>
      </c>
      <c r="E63" t="inlineStr">
        <is>
          <t>Mouse</t>
        </is>
      </c>
      <c r="F63" s="6" t="n">
        <v>19</v>
      </c>
      <c r="G63" s="7" t="n">
        <v>450</v>
      </c>
      <c r="H63" s="8" t="n">
        <v>0.15</v>
      </c>
      <c r="I63" t="inlineStr">
        <is>
          <t>Aprobado</t>
        </is>
      </c>
      <c r="J63" t="inlineStr">
        <is>
          <t>Registro 59</t>
        </is>
      </c>
      <c r="K63" s="9">
        <f>F63*G63*(1-H63)</f>
        <v/>
      </c>
      <c r="L63">
        <f>IF(A63="","Error","OK")</f>
        <v/>
      </c>
    </row>
    <row r="64">
      <c r="A64" t="inlineStr">
        <is>
          <t>V-2026-0060</t>
        </is>
      </c>
      <c r="B64" t="inlineStr">
        <is>
          <t>2026-08-04</t>
        </is>
      </c>
      <c r="C64" t="inlineStr">
        <is>
          <t>Norte</t>
        </is>
      </c>
      <c r="D64" t="inlineStr">
        <is>
          <t>0004</t>
        </is>
      </c>
      <c r="E64" t="inlineStr">
        <is>
          <t>Laptop</t>
        </is>
      </c>
      <c r="F64" s="6" t="n">
        <v>15</v>
      </c>
      <c r="G64" s="7" t="n">
        <v>15500</v>
      </c>
      <c r="H64" s="8" t="n">
        <v>0</v>
      </c>
      <c r="I64" t="inlineStr">
        <is>
          <t>Pendiente</t>
        </is>
      </c>
      <c r="J64" t="inlineStr">
        <is>
          <t>Registro 60</t>
        </is>
      </c>
      <c r="K64" s="9">
        <f>F64*G64*(1-H64)</f>
        <v/>
      </c>
      <c r="L64">
        <f>IF(A64="","Error","OK")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04: Captura y edicion de datos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2026-09-02T03:35:58Z</dcterms:created>
  <dcterms:modified xmlns:dcterms="http://purl.org/dc/terms/" xmlns:xsi="http://www.w3.org/2001/XMLSchema-instance" xsi:type="dcterms:W3CDTF">2026-09-02T03:35:58Z</dcterms:modified>
</cp:coreProperties>
</file>